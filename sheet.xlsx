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Verified List" sheetId="2" r:id="rId6"/>
    <sheet state="visible" name="Sheet2" sheetId="3" r:id="rId7"/>
  </sheets>
  <definedNames/>
  <calcPr/>
</workbook>
</file>

<file path=xl/sharedStrings.xml><?xml version="1.0" encoding="utf-8"?>
<sst xmlns="http://schemas.openxmlformats.org/spreadsheetml/2006/main" count="5363" uniqueCount="2262">
  <si>
    <t>Name</t>
  </si>
  <si>
    <t>Email</t>
  </si>
  <si>
    <t>Phone Number</t>
  </si>
  <si>
    <t>Size</t>
  </si>
  <si>
    <t>BIB NUMBER</t>
  </si>
  <si>
    <t xml:space="preserve">Rajinur Piyal </t>
  </si>
  <si>
    <t>rajinurislam333@gmail.com</t>
  </si>
  <si>
    <t>01785386704</t>
  </si>
  <si>
    <t>M</t>
  </si>
  <si>
    <t>Gulzar Islam Mahir</t>
  </si>
  <si>
    <t>gimahir25@gmail.com</t>
  </si>
  <si>
    <t>01768173364</t>
  </si>
  <si>
    <t>L</t>
  </si>
  <si>
    <t xml:space="preserve">Abir Hasan Anik </t>
  </si>
  <si>
    <t>abir134017@gmail.com</t>
  </si>
  <si>
    <t>01303083334</t>
  </si>
  <si>
    <t xml:space="preserve">MD IMDADUL HAQUE PARVES </t>
  </si>
  <si>
    <t>imdadulhaque101ndc@gmail.com</t>
  </si>
  <si>
    <t>01705714078</t>
  </si>
  <si>
    <t>MD. ABU SAYED</t>
  </si>
  <si>
    <t>Timestamp</t>
  </si>
  <si>
    <t>sayedbda1@gmail.com</t>
  </si>
  <si>
    <t>01770969386</t>
  </si>
  <si>
    <t>XL</t>
  </si>
  <si>
    <t xml:space="preserve">Maisha Khatun </t>
  </si>
  <si>
    <t>maishakhatun516@gmail.com</t>
  </si>
  <si>
    <t>01303692235</t>
  </si>
  <si>
    <t xml:space="preserve">Md.Sifath Ullah Sami </t>
  </si>
  <si>
    <t>sifathullahsami@gmail.com</t>
  </si>
  <si>
    <t>01729984759</t>
  </si>
  <si>
    <t>01317982413 এই নাম্বারে বিকেশে টাকা পাঠিয়ে ট্রানঞ্জেকশন আইডি এখানে দিন। ১ থেকে ৪৭ ব্যাচ ৪০০ টাকা, ৪৮ ব্যাচ থেকে ৫৫ব্যাচ = ৩৫০ টাকা</t>
  </si>
  <si>
    <t xml:space="preserve">Kamrul Hasan </t>
  </si>
  <si>
    <t>Kamrulhasanshant99@gmail.com</t>
  </si>
  <si>
    <t>01991703992</t>
  </si>
  <si>
    <t xml:space="preserve">Md. Shoriful Islam Joy </t>
  </si>
  <si>
    <t>Department/Batch</t>
  </si>
  <si>
    <t>joybmbju@gmail.com</t>
  </si>
  <si>
    <t>01929757592</t>
  </si>
  <si>
    <t>Hall Name</t>
  </si>
  <si>
    <t>Md. Naim Pramanik</t>
  </si>
  <si>
    <t>naimpr46@gmail.com</t>
  </si>
  <si>
    <t>01521321877</t>
  </si>
  <si>
    <t xml:space="preserve">Jannatul Ferdaus Mili </t>
  </si>
  <si>
    <t>milianthroju@gmail.com</t>
  </si>
  <si>
    <t>01405970606</t>
  </si>
  <si>
    <t xml:space="preserve">Sakibul Islam Farabbi </t>
  </si>
  <si>
    <t>sakibulislm26@gmail.com</t>
  </si>
  <si>
    <t>01771705723</t>
  </si>
  <si>
    <t>Comments</t>
  </si>
  <si>
    <t>MD SHAHIN SHEIKH</t>
  </si>
  <si>
    <t>shahinrehman200349@gmail.com</t>
  </si>
  <si>
    <t>01812699444</t>
  </si>
  <si>
    <t xml:space="preserve">Verify </t>
  </si>
  <si>
    <t xml:space="preserve">Nusrat Jahan Afrin </t>
  </si>
  <si>
    <t>nusratafrin292@gmail.com</t>
  </si>
  <si>
    <t>01315929572</t>
  </si>
  <si>
    <t>3XL</t>
  </si>
  <si>
    <t>MD.PARVEZ MOSHAROF</t>
  </si>
  <si>
    <t>mosharofp51@gmail.com</t>
  </si>
  <si>
    <t>01318152109</t>
  </si>
  <si>
    <t>Md Majidul Islam Manik</t>
  </si>
  <si>
    <t>ahmmanik37@gmail.com</t>
  </si>
  <si>
    <t>01737033103</t>
  </si>
  <si>
    <t>2xl</t>
  </si>
  <si>
    <t>একটা জারসি দেন ভাই😑 আগের রানের জারসি পাই নাই🥲</t>
  </si>
  <si>
    <t xml:space="preserve">Mst. Nusrat Jahan </t>
  </si>
  <si>
    <t>nusratsumaiya691@gmail.com</t>
  </si>
  <si>
    <t>01765168705</t>
  </si>
  <si>
    <t xml:space="preserve">Foysal Khan </t>
  </si>
  <si>
    <t>কায়েফ আহমেদ সিয়াম</t>
  </si>
  <si>
    <t xml:space="preserve">mdfoysalsheikh36@gmail </t>
  </si>
  <si>
    <t>01311949125</t>
  </si>
  <si>
    <t>বাংলা-৫২</t>
  </si>
  <si>
    <t>Md. Laden</t>
  </si>
  <si>
    <t>20241659736laden@juniv.edu</t>
  </si>
  <si>
    <t>01758160097</t>
  </si>
  <si>
    <t>শের-ই-বাংলা হল</t>
  </si>
  <si>
    <t>Obidul Hoque Seam</t>
  </si>
  <si>
    <t>seam.53@geography-juniv.edu.bd</t>
  </si>
  <si>
    <t>01646857400</t>
  </si>
  <si>
    <t>S</t>
  </si>
  <si>
    <t>siamahmed64827@gmail.com</t>
  </si>
  <si>
    <t xml:space="preserve">Md. Zahidul Islam </t>
  </si>
  <si>
    <t>nabiljahid65@gmail.com</t>
  </si>
  <si>
    <t>01758252113</t>
  </si>
  <si>
    <t>01923040287</t>
  </si>
  <si>
    <t xml:space="preserve">Jia Uddin Asif </t>
  </si>
  <si>
    <t>jiauddinasif@gmail.com</t>
  </si>
  <si>
    <t>01794526052</t>
  </si>
  <si>
    <t xml:space="preserve">Volunteer-L </t>
  </si>
  <si>
    <t>Mohiuddin Babar</t>
  </si>
  <si>
    <t>mohiuddinbabar86@gmail.com</t>
  </si>
  <si>
    <t>Ready for volunteering ✊</t>
  </si>
  <si>
    <t>01518926906</t>
  </si>
  <si>
    <t xml:space="preserve">Md. Samaun Elahee </t>
  </si>
  <si>
    <t>NO</t>
  </si>
  <si>
    <t>Samaunelaheekaba002@gmail.com</t>
  </si>
  <si>
    <t>01833649427</t>
  </si>
  <si>
    <t>2XL</t>
  </si>
  <si>
    <t xml:space="preserve">Aysha Akter </t>
  </si>
  <si>
    <t>ayshaakterj66@gmail.com</t>
  </si>
  <si>
    <t>01977922462</t>
  </si>
  <si>
    <t>DGI0H5BKSE</t>
  </si>
  <si>
    <t xml:space="preserve">MD. Shahed Annam </t>
  </si>
  <si>
    <t>shahedanam2018@gmail.com</t>
  </si>
  <si>
    <t>01868896967</t>
  </si>
  <si>
    <t>Sagor Das Turja</t>
  </si>
  <si>
    <t>turjadas366@gmail.com</t>
  </si>
  <si>
    <t>01872860224</t>
  </si>
  <si>
    <t>Public Administration - 51</t>
  </si>
  <si>
    <t>Eshtiak Ahamad Shefat</t>
  </si>
  <si>
    <t xml:space="preserve">Nawab Salimullah Hall </t>
  </si>
  <si>
    <t>eshtiakshefat15.3@gmail.com</t>
  </si>
  <si>
    <t>01950036530</t>
  </si>
  <si>
    <t xml:space="preserve">Rohan Ferdous </t>
  </si>
  <si>
    <t>rohanferdousrohan@gmail.com</t>
  </si>
  <si>
    <t>01849988842</t>
  </si>
  <si>
    <t>Md Mosabbir Hosen</t>
  </si>
  <si>
    <t xml:space="preserve">Go Ahead....good wishes </t>
  </si>
  <si>
    <t>mdmosabbir13087@gmail.com</t>
  </si>
  <si>
    <t>01774297647</t>
  </si>
  <si>
    <t>YES</t>
  </si>
  <si>
    <t>Md. Ahsan Habib</t>
  </si>
  <si>
    <t>ahashanhabib8851@gmail.com</t>
  </si>
  <si>
    <t>01797858851</t>
  </si>
  <si>
    <t xml:space="preserve">Md Asraful Islam </t>
  </si>
  <si>
    <t>20220254710asraful1@juniv.edu</t>
  </si>
  <si>
    <t>01326041046</t>
  </si>
  <si>
    <t xml:space="preserve">ভুলে প্রথমে ৩০০৳ দিয়ে ফেলি DGI8H5CIGA পরে ৫০৳ দিয়েছি DGI2H5CETA </t>
  </si>
  <si>
    <t>Shaker Ahmed</t>
  </si>
  <si>
    <t>shakir01616@gmail.com</t>
  </si>
  <si>
    <t>01309769516</t>
  </si>
  <si>
    <t>Emon Hossain Pallas</t>
  </si>
  <si>
    <t>e.h.pallas2002@gmail.com</t>
  </si>
  <si>
    <t>01629076188</t>
  </si>
  <si>
    <t>Muhammad Fardoush</t>
  </si>
  <si>
    <t>Nawab Salimullah Hall</t>
  </si>
  <si>
    <t>fardoush1810@gmail.com</t>
  </si>
  <si>
    <t>01898341655</t>
  </si>
  <si>
    <t xml:space="preserve">MD. ABU SAYEED </t>
  </si>
  <si>
    <t>sdh31137@gmail.com</t>
  </si>
  <si>
    <t>01308562296</t>
  </si>
  <si>
    <t>Nader Nihal</t>
  </si>
  <si>
    <t>nadernihal333@gmail.com</t>
  </si>
  <si>
    <t>01338152449</t>
  </si>
  <si>
    <t>Tanvir Ahmed Shishir</t>
  </si>
  <si>
    <t>tanvir54439@gmail.com</t>
  </si>
  <si>
    <t>01623584250</t>
  </si>
  <si>
    <t xml:space="preserve">MD HISHAM AL ISHRAQ </t>
  </si>
  <si>
    <t xml:space="preserve">hishamvai8@gmail </t>
  </si>
  <si>
    <t>01776967467</t>
  </si>
  <si>
    <t xml:space="preserve">Md. Torikul Islam </t>
  </si>
  <si>
    <t xml:space="preserve">torikulislam2577@gmail.com </t>
  </si>
  <si>
    <t>সেন্ড মানিতে ছোট্ট কুলের কারনে আবার আবার আমাকে বাদ দিয়েন না ভাই</t>
  </si>
  <si>
    <t>01791-969601</t>
  </si>
  <si>
    <t>Ahsan Habib</t>
  </si>
  <si>
    <t>habib1147@gmail.com</t>
  </si>
  <si>
    <t>01716786152</t>
  </si>
  <si>
    <t>Sumaiya Islam Shoshi</t>
  </si>
  <si>
    <t>shoshisumaiya01@gmail.com</t>
  </si>
  <si>
    <t>01793069840</t>
  </si>
  <si>
    <t xml:space="preserve">SHARIF MOHAMMAD </t>
  </si>
  <si>
    <t>sharifmohammad021@gmail.com</t>
  </si>
  <si>
    <t>01647248800</t>
  </si>
  <si>
    <t xml:space="preserve">Md. Tanvir Mahmud Titas </t>
  </si>
  <si>
    <t>titasmahmud815@gmail.com</t>
  </si>
  <si>
    <t xml:space="preserve">ভুলে প্রথমে ৩০০৳ দেই ট্রানঞ্জেকশন আইডি: DGI8H5CIGA পরে আবার ৫০৳ দেই ট্রাঞ্জেকশন আইডি : DGI2H5CETA </t>
  </si>
  <si>
    <t>01722324235</t>
  </si>
  <si>
    <t>Ibrahim Khalil Siam</t>
  </si>
  <si>
    <t>ibrahimkhalilsiam6@gmail.com</t>
  </si>
  <si>
    <t>01971630585</t>
  </si>
  <si>
    <t>MAHIR</t>
  </si>
  <si>
    <t xml:space="preserve">Shahadat Hridoy </t>
  </si>
  <si>
    <t>20232458065@juniv.edu</t>
  </si>
  <si>
    <t>01308187263</t>
  </si>
  <si>
    <t xml:space="preserve">Md Jamil Hossain </t>
  </si>
  <si>
    <t>jamilphi49@gmail.com</t>
  </si>
  <si>
    <t>01755774036</t>
  </si>
  <si>
    <t>Md Rakib Miah</t>
  </si>
  <si>
    <t>NAWAB SALIMULLAH HALL</t>
  </si>
  <si>
    <t>rakib.stu20186@juniv.edu</t>
  </si>
  <si>
    <t>01521330741</t>
  </si>
  <si>
    <t xml:space="preserve">Ushanta Tripura </t>
  </si>
  <si>
    <t>ushantatripura55@gmail.com</t>
  </si>
  <si>
    <t>gimahir25</t>
  </si>
  <si>
    <t>01540116337</t>
  </si>
  <si>
    <t xml:space="preserve">Md. Mredul Hossain </t>
  </si>
  <si>
    <t>mredulhossain76@gmail.com</t>
  </si>
  <si>
    <t>01873704564</t>
  </si>
  <si>
    <t>Tanvir Hasan Tonmoy</t>
  </si>
  <si>
    <t>tanvirhasantonmoy111@gmail.com</t>
  </si>
  <si>
    <t>01609883425</t>
  </si>
  <si>
    <t xml:space="preserve">Mst: Sumaiya Akter </t>
  </si>
  <si>
    <t xml:space="preserve">Sumaiyashammi52@gmail.com </t>
  </si>
  <si>
    <t>01300522985</t>
  </si>
  <si>
    <t>S- 38-26</t>
  </si>
  <si>
    <t>ছোট্ট ভুলের কারনে আবার আমাকে বাদ দিয়েন না ভাই আর শুভ কামনা আপনাদের জন্য হয়ত সামনে আর জাকসু পাবনা এমন আয়োজন মিস করব</t>
  </si>
  <si>
    <t xml:space="preserve">Shreela Roy </t>
  </si>
  <si>
    <t>shreelaroy88@gmail.com</t>
  </si>
  <si>
    <t>01721891923</t>
  </si>
  <si>
    <t>Sajib Sarker</t>
  </si>
  <si>
    <t>sajibsarker7875@gmail.com</t>
  </si>
  <si>
    <t>01518363138</t>
  </si>
  <si>
    <t>DGI5H5FSRN</t>
  </si>
  <si>
    <t xml:space="preserve">Muhaiminul Islam Sreejon </t>
  </si>
  <si>
    <t>sreejon.stu20191@juniv.edu</t>
  </si>
  <si>
    <t>01621382757</t>
  </si>
  <si>
    <t>Fahmida Sultana Tamanna</t>
  </si>
  <si>
    <t>fsultanatamanna@gmail.com</t>
  </si>
  <si>
    <t>English- 42</t>
  </si>
  <si>
    <t>+880 17 789 31591</t>
  </si>
  <si>
    <t xml:space="preserve">Mushfiqur Rahman Sarker </t>
  </si>
  <si>
    <t>Shaheed Rafiq- Jabbar Hall</t>
  </si>
  <si>
    <t>mushfiqurasif2004@gmail.com</t>
  </si>
  <si>
    <t>01754662206</t>
  </si>
  <si>
    <t xml:space="preserve">MD Mehedi Hasan Sojib </t>
  </si>
  <si>
    <t>sojib.mhs@gmail.com</t>
  </si>
  <si>
    <t>01712170805</t>
  </si>
  <si>
    <t xml:space="preserve">Abdullah Mohammad Sorfuddin </t>
  </si>
  <si>
    <t>Sorfu2007@gmail.com</t>
  </si>
  <si>
    <t>01620527180</t>
  </si>
  <si>
    <t>MD. ZAHIDUL ISLAM</t>
  </si>
  <si>
    <t>zahidulislam2426@gmail.com</t>
  </si>
  <si>
    <t>01600176750</t>
  </si>
  <si>
    <t>Hope for a good experience.</t>
  </si>
  <si>
    <t>Mahfuza Fariha</t>
  </si>
  <si>
    <t>farihamun17@gmail.com</t>
  </si>
  <si>
    <t>01927431897</t>
  </si>
  <si>
    <t xml:space="preserve">Noman Bin Harun </t>
  </si>
  <si>
    <t>nomanbinharun02@gmail.com</t>
  </si>
  <si>
    <t>01894344123</t>
  </si>
  <si>
    <t>DGI0H5G76Y</t>
  </si>
  <si>
    <t>Pritom Roy</t>
  </si>
  <si>
    <t>pritomndc03@gmail.com</t>
  </si>
  <si>
    <t>01862992555</t>
  </si>
  <si>
    <t>MD Ebrahim Khalil Ullah</t>
  </si>
  <si>
    <t>ebrahimkhalilullahh@gmail.com</t>
  </si>
  <si>
    <t>01727452704</t>
  </si>
  <si>
    <t>Public Administration 51</t>
  </si>
  <si>
    <t xml:space="preserve">Samuel Bawm </t>
  </si>
  <si>
    <t>samuelbawm2@gmail.com</t>
  </si>
  <si>
    <t>01818256951</t>
  </si>
  <si>
    <t xml:space="preserve">L </t>
  </si>
  <si>
    <t xml:space="preserve">Tajuddin hall </t>
  </si>
  <si>
    <t xml:space="preserve">Tamim Rahman </t>
  </si>
  <si>
    <t>tamimrahman798@gmail.com</t>
  </si>
  <si>
    <t>01969373584</t>
  </si>
  <si>
    <t>Ifti</t>
  </si>
  <si>
    <t>iftekharhabib2020@gmail.com</t>
  </si>
  <si>
    <t>01818668311</t>
  </si>
  <si>
    <t xml:space="preserve">JONAID HASAN </t>
  </si>
  <si>
    <t>hasanjonaid721@gmail.com</t>
  </si>
  <si>
    <t>01315563845</t>
  </si>
  <si>
    <t xml:space="preserve">MD Khaleduzzaman Fahim </t>
  </si>
  <si>
    <t>kzfahim0812@gmail.com</t>
  </si>
  <si>
    <t>Eagerly waiting to join</t>
  </si>
  <si>
    <t>01733884902</t>
  </si>
  <si>
    <t xml:space="preserve">S M Joynul Hossain Ayon </t>
  </si>
  <si>
    <t>smayon0639@gmail.com</t>
  </si>
  <si>
    <t>01753764607</t>
  </si>
  <si>
    <t>Drubo Eash Dip</t>
  </si>
  <si>
    <t>druboeash75@gmail.com</t>
  </si>
  <si>
    <t>01716187324</t>
  </si>
  <si>
    <t>DGI8H5MPKO</t>
  </si>
  <si>
    <t xml:space="preserve">Maimuna Khatun </t>
  </si>
  <si>
    <t>maimunamisty291@gmail.com</t>
  </si>
  <si>
    <t>01972574342</t>
  </si>
  <si>
    <t>Asim Paul</t>
  </si>
  <si>
    <t>asimpaul.network@gmail.com</t>
  </si>
  <si>
    <t>01784718653</t>
  </si>
  <si>
    <t>BANGLA-42</t>
  </si>
  <si>
    <t>Sabbir Ahmed</t>
  </si>
  <si>
    <t>sabbirahmedawfe@gmail.com</t>
  </si>
  <si>
    <t>01978569769</t>
  </si>
  <si>
    <t>SHAHEED SALAM BARKAT HALL</t>
  </si>
  <si>
    <t>A S M Zinnurain Swadhin</t>
  </si>
  <si>
    <t>asmzinnurain2018@gmail.com</t>
  </si>
  <si>
    <t>01522112866</t>
  </si>
  <si>
    <t xml:space="preserve">Md. Jonayed hasan Mahedi </t>
  </si>
  <si>
    <t>jonayedhasanmehedi@gmail.com</t>
  </si>
  <si>
    <t>01647536020</t>
  </si>
  <si>
    <t>Moien Jahan Olive</t>
  </si>
  <si>
    <t>moien.53@geography-juniv.edu.bd</t>
  </si>
  <si>
    <t>01641946946</t>
  </si>
  <si>
    <t>Run</t>
  </si>
  <si>
    <t xml:space="preserve">Md. Ramij Uddin Raja </t>
  </si>
  <si>
    <t>ramijraja2901@gmail.com</t>
  </si>
  <si>
    <t>01887484642</t>
  </si>
  <si>
    <t>Ahmad Abdullah</t>
  </si>
  <si>
    <t>ahmad.abdullah.3199@gmail.com</t>
  </si>
  <si>
    <t>01341613171</t>
  </si>
  <si>
    <t xml:space="preserve">Tanvir Ahmed Shuvo </t>
  </si>
  <si>
    <t>tanvirahmedshuvoju@gmail.com</t>
  </si>
  <si>
    <t>01859874226</t>
  </si>
  <si>
    <t>DGI6H5OYLA</t>
  </si>
  <si>
    <t>Sheikh Mahabub Hasan Robin</t>
  </si>
  <si>
    <t>IIT-51</t>
  </si>
  <si>
    <t>s.k.mhr001@gmail.com</t>
  </si>
  <si>
    <t>01700640682</t>
  </si>
  <si>
    <t xml:space="preserve">Begum Sufiya Kamal hall </t>
  </si>
  <si>
    <t>KABBO</t>
  </si>
  <si>
    <t>d.mkabbomondal@gmail.com</t>
  </si>
  <si>
    <t>01787773063</t>
  </si>
  <si>
    <t>EASIN MIAH</t>
  </si>
  <si>
    <t>sameolahamed@gmail.com</t>
  </si>
  <si>
    <t>01640556539</t>
  </si>
  <si>
    <t>Thank you for organizing such a wonderful event.</t>
  </si>
  <si>
    <t xml:space="preserve">Md Nayeem Hossain </t>
  </si>
  <si>
    <t>mdnayeemhossain939@gmail.com</t>
  </si>
  <si>
    <t>01305342585</t>
  </si>
  <si>
    <t xml:space="preserve">MD NAHIDUL HAQUE RABBI </t>
  </si>
  <si>
    <t>DGI7H5ZKMN</t>
  </si>
  <si>
    <t>nahidulhaque95@gmail.com</t>
  </si>
  <si>
    <t>01799382737</t>
  </si>
  <si>
    <t xml:space="preserve">Maliha Laheen </t>
  </si>
  <si>
    <t>20240659104laheen@juniv.edu</t>
  </si>
  <si>
    <t>01618576663</t>
  </si>
  <si>
    <t>Biochemistry &amp; Molecular biology /54 batch</t>
  </si>
  <si>
    <t xml:space="preserve">Sudipta Paul Durjoy </t>
  </si>
  <si>
    <t>spdurjoy4@gmail.com</t>
  </si>
  <si>
    <t>01716916618</t>
  </si>
  <si>
    <t>Md. Tawhidul Islam</t>
  </si>
  <si>
    <t>tawhidulislamju52@gmail.com</t>
  </si>
  <si>
    <t>01778158084</t>
  </si>
  <si>
    <t xml:space="preserve">Charcha Talukder </t>
  </si>
  <si>
    <t>20240659113charcha@juniv.edu</t>
  </si>
  <si>
    <t>017797190223</t>
  </si>
  <si>
    <t>3xl</t>
  </si>
  <si>
    <t>Muntasir Adib</t>
  </si>
  <si>
    <t>mmadib2001@gmail.com</t>
  </si>
  <si>
    <t xml:space="preserve">Good initiative </t>
  </si>
  <si>
    <t>01722194398</t>
  </si>
  <si>
    <t xml:space="preserve">Nowshin Ahad </t>
  </si>
  <si>
    <t>nowshinahad21@gmail.com</t>
  </si>
  <si>
    <t>01316464668</t>
  </si>
  <si>
    <t xml:space="preserve">XL </t>
  </si>
  <si>
    <t>রবি</t>
  </si>
  <si>
    <t xml:space="preserve">mdrobi596316@gmail.com </t>
  </si>
  <si>
    <t>01855506838</t>
  </si>
  <si>
    <t>DGI2H621CE</t>
  </si>
  <si>
    <t xml:space="preserve">Ferdous Ara Fahima </t>
  </si>
  <si>
    <t>ferdousarafahima@gmail.com</t>
  </si>
  <si>
    <t>01761039943</t>
  </si>
  <si>
    <t>Sultana Akter</t>
  </si>
  <si>
    <t>20240659107sultana@juniv.edu</t>
  </si>
  <si>
    <t>01312319015</t>
  </si>
  <si>
    <t xml:space="preserve">MD Rakibul Kabir Rakib </t>
  </si>
  <si>
    <t xml:space="preserve">Maulana Bhashani hall </t>
  </si>
  <si>
    <t>rakibulkabir2007@gmail.com</t>
  </si>
  <si>
    <t>01717933039</t>
  </si>
  <si>
    <t>MEZBAH</t>
  </si>
  <si>
    <t>mezbah.khan55692@gmail.com</t>
  </si>
  <si>
    <t>01734739834</t>
  </si>
  <si>
    <t xml:space="preserve">SHARIF MEHERAB HOSSEN ZIDAN </t>
  </si>
  <si>
    <t xml:space="preserve">sharifmhzidan@gmail.com </t>
  </si>
  <si>
    <t>1305444033</t>
  </si>
  <si>
    <t>XL (Chest-44, Length-29)</t>
  </si>
  <si>
    <t>Araf Mohammed Mahin</t>
  </si>
  <si>
    <t>.</t>
  </si>
  <si>
    <t>arafmohammed1234@gmail.com</t>
  </si>
  <si>
    <t>01761606257</t>
  </si>
  <si>
    <t>Aysha Khondokar Jui</t>
  </si>
  <si>
    <t>juiayshakhondokar@gmail.com</t>
  </si>
  <si>
    <t>01839392056</t>
  </si>
  <si>
    <t xml:space="preserve">Tafriha Jerin Raka </t>
  </si>
  <si>
    <t>rakamoni431@gmail.com</t>
  </si>
  <si>
    <t>01521700616</t>
  </si>
  <si>
    <t>DGI0H6EQSO</t>
  </si>
  <si>
    <t>Md. Asif Khan</t>
  </si>
  <si>
    <t>asifksifat@gmail.com</t>
  </si>
  <si>
    <t>01623945128</t>
  </si>
  <si>
    <t xml:space="preserve">Mariam Akter Lamia </t>
  </si>
  <si>
    <t xml:space="preserve">lamiamariamakter@gmail.com </t>
  </si>
  <si>
    <t>01850667157</t>
  </si>
  <si>
    <t xml:space="preserve">Mir Mosharraf Hossain Hall </t>
  </si>
  <si>
    <t>Sabbir Hossain Subo</t>
  </si>
  <si>
    <t>suvosk00@gmail.com</t>
  </si>
  <si>
    <t>01978441255</t>
  </si>
  <si>
    <t>Md. Al Amin Sarkar</t>
  </si>
  <si>
    <t>mdalaminsarker2709@gmail.com</t>
  </si>
  <si>
    <t>01568704039</t>
  </si>
  <si>
    <t>Umma Habiba Eti</t>
  </si>
  <si>
    <t>20210652858habiba1@juniv.edu</t>
  </si>
  <si>
    <t>01719186576</t>
  </si>
  <si>
    <t>It would be good memorable run, Insha Allah</t>
  </si>
  <si>
    <t xml:space="preserve">Muhaimin Kamran </t>
  </si>
  <si>
    <t>muhaiminkamran@gmail.com</t>
  </si>
  <si>
    <t>01522104126</t>
  </si>
  <si>
    <t xml:space="preserve">Md. Khayrul Islam </t>
  </si>
  <si>
    <t>mahamudkhayer@gmail.com</t>
  </si>
  <si>
    <t>01878933753</t>
  </si>
  <si>
    <t>XL-44-29</t>
  </si>
  <si>
    <t>Md Hasan Ahmed</t>
  </si>
  <si>
    <t>hasanalmahamud121@gmail.com</t>
  </si>
  <si>
    <t>01882481880</t>
  </si>
  <si>
    <t>DGI9H759RJ</t>
  </si>
  <si>
    <t xml:space="preserve">Tabassum Mostofa Mim </t>
  </si>
  <si>
    <t>mimtabassum053@gmail.com</t>
  </si>
  <si>
    <t>01787208669</t>
  </si>
  <si>
    <t>Atia Munni</t>
  </si>
  <si>
    <t>Public Health - 46</t>
  </si>
  <si>
    <t>atiamunni.ju46@gmail.com</t>
  </si>
  <si>
    <t>01679579066</t>
  </si>
  <si>
    <t>Mir Mosarraf Hossain Hall</t>
  </si>
  <si>
    <t xml:space="preserve">Al Shahria shakil </t>
  </si>
  <si>
    <t xml:space="preserve">shakiljubd@gmail </t>
  </si>
  <si>
    <t>01839454181</t>
  </si>
  <si>
    <t xml:space="preserve">Sojeeb Kumar Dhiraj </t>
  </si>
  <si>
    <t>20262764093sojeeb@juniv.edu</t>
  </si>
  <si>
    <t>01788820384</t>
  </si>
  <si>
    <t xml:space="preserve">L size </t>
  </si>
  <si>
    <t xml:space="preserve">MD.KAMRUL HASAN APON </t>
  </si>
  <si>
    <t>mkaponkhan328@gmail.com</t>
  </si>
  <si>
    <t>01334190218</t>
  </si>
  <si>
    <t xml:space="preserve">Ikra Khan </t>
  </si>
  <si>
    <t>Appreciate for arranging the events.</t>
  </si>
  <si>
    <t>ikrakhan3003@gmail.com</t>
  </si>
  <si>
    <t>01712183541</t>
  </si>
  <si>
    <t xml:space="preserve">MD RAGAB NUR RAFIQ </t>
  </si>
  <si>
    <t>mdragabnurr@gmail.com</t>
  </si>
  <si>
    <t>01815426162</t>
  </si>
  <si>
    <t xml:space="preserve">Masqurl Alam </t>
  </si>
  <si>
    <t>mdmasqurl0@gmail.com</t>
  </si>
  <si>
    <t>01839541374</t>
  </si>
  <si>
    <t>Cash to Kiron bhai</t>
  </si>
  <si>
    <t>Sumiya Akter Samia</t>
  </si>
  <si>
    <t>samianihin@gmail.com</t>
  </si>
  <si>
    <t>01761888141</t>
  </si>
  <si>
    <t>Moninur Islam</t>
  </si>
  <si>
    <t xml:space="preserve">Saraf Mahdi Sorkar </t>
  </si>
  <si>
    <t>mahdisorkar82@gmail.com</t>
  </si>
  <si>
    <t>Economics -52</t>
  </si>
  <si>
    <t>01782999522</t>
  </si>
  <si>
    <t xml:space="preserve">Jannatun Ferdousi </t>
  </si>
  <si>
    <t>Sher-e-Bangla Hall</t>
  </si>
  <si>
    <t xml:space="preserve">jannatunferdousi490@gmail </t>
  </si>
  <si>
    <t>01302335653</t>
  </si>
  <si>
    <t>anonda923@gmail.com</t>
  </si>
  <si>
    <t>Ariful Islam</t>
  </si>
  <si>
    <t>arifstar71@gmail.com</t>
  </si>
  <si>
    <t>01752512933</t>
  </si>
  <si>
    <t>01740027698</t>
  </si>
  <si>
    <t>Abdullah Al Fahim</t>
  </si>
  <si>
    <t>abdullahalfaheem9@gmail.com</t>
  </si>
  <si>
    <t>01870333657</t>
  </si>
  <si>
    <t xml:space="preserve">A K M Mahin Mahodi Alam </t>
  </si>
  <si>
    <t>mahinmahodi@gmail.com</t>
  </si>
  <si>
    <t xml:space="preserve">Such a great initiative </t>
  </si>
  <si>
    <t>01906737402</t>
  </si>
  <si>
    <t>MD.Nuruzzaman Islam</t>
  </si>
  <si>
    <t xml:space="preserve">mdnuruzzamani203@gmail </t>
  </si>
  <si>
    <t>01521767987</t>
  </si>
  <si>
    <t xml:space="preserve">Md. Khaled Mahmud Jon </t>
  </si>
  <si>
    <t>khaledmahmud190192@gmail.com2xl</t>
  </si>
  <si>
    <t>01786883908</t>
  </si>
  <si>
    <t xml:space="preserve">49 th batch </t>
  </si>
  <si>
    <t>Tawhidul Islam</t>
  </si>
  <si>
    <t>tawhidulislamnishat@gmail.com</t>
  </si>
  <si>
    <t>01843588321</t>
  </si>
  <si>
    <t>Md. Mahebe Rahman</t>
  </si>
  <si>
    <t xml:space="preserve">Department of Statistics and Data Science </t>
  </si>
  <si>
    <t>maheberahman16@gmail.com</t>
  </si>
  <si>
    <t>01533624920</t>
  </si>
  <si>
    <t>Shahid Tajjuddin Hall</t>
  </si>
  <si>
    <t xml:space="preserve">Morsheda Jahan </t>
  </si>
  <si>
    <t>mjahanofficial@gmail.com</t>
  </si>
  <si>
    <t>01934628743</t>
  </si>
  <si>
    <t xml:space="preserve">Jhilik Sarkar </t>
  </si>
  <si>
    <t>jhiliksarkar91@gmail.com</t>
  </si>
  <si>
    <t>01736622724</t>
  </si>
  <si>
    <t>Mahmudul Haque Shahed</t>
  </si>
  <si>
    <t>mdmahmudulhq@gmail.com</t>
  </si>
  <si>
    <t>01860841090</t>
  </si>
  <si>
    <t>Fahad Rahman Jabir</t>
  </si>
  <si>
    <t>jr8672490@gmail.com</t>
  </si>
  <si>
    <t>01606591108</t>
  </si>
  <si>
    <t>Waiting for this event</t>
  </si>
  <si>
    <t>Asmaul hosna</t>
  </si>
  <si>
    <t>rodoshichoudhury50@gmail.com</t>
  </si>
  <si>
    <t>01734121780</t>
  </si>
  <si>
    <t xml:space="preserve">Md. Tasnim Hassan </t>
  </si>
  <si>
    <t>tasnimtapos@gmail.com</t>
  </si>
  <si>
    <t>01768836893</t>
  </si>
  <si>
    <t>Prianka Mondol</t>
  </si>
  <si>
    <t>priankamondol026@gmail</t>
  </si>
  <si>
    <t>01620994482</t>
  </si>
  <si>
    <t xml:space="preserve">Abdullah Al Jubair </t>
  </si>
  <si>
    <t>DGI8H7X4AC</t>
  </si>
  <si>
    <t>abdullahaljubair2000@gmail.com</t>
  </si>
  <si>
    <t>01558988138</t>
  </si>
  <si>
    <t xml:space="preserve">Mehedi Hasan Remon </t>
  </si>
  <si>
    <t>mhremon765@gmail.com</t>
  </si>
  <si>
    <t>01794295584</t>
  </si>
  <si>
    <t>Md. Arif Hossen</t>
  </si>
  <si>
    <t>mdarifhossen1201@gmail.com</t>
  </si>
  <si>
    <t>01750054179</t>
  </si>
  <si>
    <t>Anthropology 53</t>
  </si>
  <si>
    <t xml:space="preserve">Mst. Faiza Tun Noor </t>
  </si>
  <si>
    <t>noorfaiza4909@gmail.com</t>
  </si>
  <si>
    <t>01734280294</t>
  </si>
  <si>
    <t xml:space="preserve">Pritilata </t>
  </si>
  <si>
    <t>Mahmudul Hasan Limon</t>
  </si>
  <si>
    <t>mahmudulhasanlimon01@gmail.com</t>
  </si>
  <si>
    <t>01770026151</t>
  </si>
  <si>
    <t xml:space="preserve">Sumya Ajad Choity </t>
  </si>
  <si>
    <t>20222856234choity@juniv.edu</t>
  </si>
  <si>
    <t>01973342705</t>
  </si>
  <si>
    <t xml:space="preserve">Elora Rashid </t>
  </si>
  <si>
    <t>elora.stu2019@juniv.edu</t>
  </si>
  <si>
    <t>01774433985</t>
  </si>
  <si>
    <t>Samia Kabir Heya</t>
  </si>
  <si>
    <t>samiakabir033@gmail.com</t>
  </si>
  <si>
    <t>01714073215</t>
  </si>
  <si>
    <t xml:space="preserve">Great initiative </t>
  </si>
  <si>
    <t xml:space="preserve">Abu Ayub MD Tamjid </t>
  </si>
  <si>
    <t>tamjid125967@gmail.com</t>
  </si>
  <si>
    <t>01876221741</t>
  </si>
  <si>
    <t>Antu Dev Nath</t>
  </si>
  <si>
    <t>devnathantu2@gmail.com</t>
  </si>
  <si>
    <t>01310558331</t>
  </si>
  <si>
    <t xml:space="preserve">Redwan Alam Omio </t>
  </si>
  <si>
    <t>redwanalam45@gmail.com</t>
  </si>
  <si>
    <t>01619877541</t>
  </si>
  <si>
    <t>Mst Khadiza Akther</t>
  </si>
  <si>
    <t>akhadiza984@gmail.com</t>
  </si>
  <si>
    <t>01648926568</t>
  </si>
  <si>
    <t>DGI4H80XCE</t>
  </si>
  <si>
    <t xml:space="preserve">Zakia Binta Syeed </t>
  </si>
  <si>
    <t>20220655008zakia@juniv.edu</t>
  </si>
  <si>
    <t>01566010018</t>
  </si>
  <si>
    <t>Labannoa Aurpita Islam</t>
  </si>
  <si>
    <t>aurpitalabannoa@gmail.com</t>
  </si>
  <si>
    <t>01821850668</t>
  </si>
  <si>
    <t>Shammi Aysha</t>
  </si>
  <si>
    <t>Shammiaysha10@gmail.com</t>
  </si>
  <si>
    <t>01896222232</t>
  </si>
  <si>
    <t>maliha islam</t>
  </si>
  <si>
    <t>malihaislam1850@gmail.com</t>
  </si>
  <si>
    <t>01327176909</t>
  </si>
  <si>
    <t>Xl</t>
  </si>
  <si>
    <t xml:space="preserve">Shahid Tajjuddin Hall </t>
  </si>
  <si>
    <t xml:space="preserve">Rezaul Karim </t>
  </si>
  <si>
    <t>rezasunny972@gmail.com</t>
  </si>
  <si>
    <t>01723292438</t>
  </si>
  <si>
    <t xml:space="preserve">Rownak Ashique Haque </t>
  </si>
  <si>
    <t>rownakashique911@gmail.com</t>
  </si>
  <si>
    <t>01768970423</t>
  </si>
  <si>
    <t xml:space="preserve">Ahmed Sakib </t>
  </si>
  <si>
    <t>saqibian76@gmail.com</t>
  </si>
  <si>
    <t>01521710683</t>
  </si>
  <si>
    <t>Tanisa Islam</t>
  </si>
  <si>
    <t>tanic08acid@gmail.com</t>
  </si>
  <si>
    <t>01726986374</t>
  </si>
  <si>
    <t xml:space="preserve">Maliha Binte Atik </t>
  </si>
  <si>
    <t>maliha.16a@gmail.com</t>
  </si>
  <si>
    <t>01331471491</t>
  </si>
  <si>
    <t>Jarin Tasnim Jasi</t>
  </si>
  <si>
    <t>jasihasan6@gmail.com</t>
  </si>
  <si>
    <t>01982784892</t>
  </si>
  <si>
    <t>DGI2H83P8Q</t>
  </si>
  <si>
    <t xml:space="preserve">Sadia Anjum Opi </t>
  </si>
  <si>
    <t>anjumopi2020@gmail.com</t>
  </si>
  <si>
    <t>01308699955</t>
  </si>
  <si>
    <t>BADHON CHANDRO OJHA</t>
  </si>
  <si>
    <t>badhanbadhan102@gmail.com</t>
  </si>
  <si>
    <t>01318395988</t>
  </si>
  <si>
    <t>MAZHAR</t>
  </si>
  <si>
    <t>mazharanik172@gmail.com</t>
  </si>
  <si>
    <t>01858631274</t>
  </si>
  <si>
    <t>SOWMIK</t>
  </si>
  <si>
    <t>sadmansakibsowmik@gmail.com</t>
  </si>
  <si>
    <t>01777931212</t>
  </si>
  <si>
    <t xml:space="preserve">Jatiya KABI Kazi NAZRUL Islam Hall </t>
  </si>
  <si>
    <t>Fatema Akter Shanta</t>
  </si>
  <si>
    <t>ctoon1643@gmail.com</t>
  </si>
  <si>
    <t>01812129576</t>
  </si>
  <si>
    <t>Tasmiah Ali Saba</t>
  </si>
  <si>
    <t>tasmiahali03@gmail.com</t>
  </si>
  <si>
    <t>01750400988</t>
  </si>
  <si>
    <t>Tandra biswas</t>
  </si>
  <si>
    <t>tandraju48@gmail.com</t>
  </si>
  <si>
    <t>01852369734</t>
  </si>
  <si>
    <t xml:space="preserve">Nafisa Ahmed </t>
  </si>
  <si>
    <t>nafisaahmed149@gmail.com</t>
  </si>
  <si>
    <t>01783369535</t>
  </si>
  <si>
    <t>Nice</t>
  </si>
  <si>
    <t xml:space="preserve">Naimur Rahman shipon </t>
  </si>
  <si>
    <t>shnaimur@gmail.com</t>
  </si>
  <si>
    <t>01875604480</t>
  </si>
  <si>
    <t>Md. Rashedul Islam</t>
  </si>
  <si>
    <t>rashedulislam0620@gmail.com</t>
  </si>
  <si>
    <t>01889020507</t>
  </si>
  <si>
    <t xml:space="preserve">Jahid Hasan </t>
  </si>
  <si>
    <t>2227jahid@gmail.com</t>
  </si>
  <si>
    <t>01303367443</t>
  </si>
  <si>
    <t xml:space="preserve">Kazi Mashfiq Hossain Mahi </t>
  </si>
  <si>
    <t>kazimashfiqju@gmail.com</t>
  </si>
  <si>
    <t>01905201279</t>
  </si>
  <si>
    <t>DGI6H8GRQ2</t>
  </si>
  <si>
    <t xml:space="preserve">Airin Sultana Urmi </t>
  </si>
  <si>
    <t>airinsultanaurmi@gmail.com</t>
  </si>
  <si>
    <t>01758626728</t>
  </si>
  <si>
    <t>Imratul Islam</t>
  </si>
  <si>
    <t>imratul181787@gmail.com</t>
  </si>
  <si>
    <t>01645576166</t>
  </si>
  <si>
    <t>Rojina</t>
  </si>
  <si>
    <t>Environmental Sciences, 54 Batch</t>
  </si>
  <si>
    <t>rojinakhatun.ju.sagc@gmail.com</t>
  </si>
  <si>
    <t>01777544187</t>
  </si>
  <si>
    <t>Pritom Goswami Ratul</t>
  </si>
  <si>
    <t>Fazilatunnesa Hall</t>
  </si>
  <si>
    <t>pritomratul@gmail.com</t>
  </si>
  <si>
    <t>01763823885</t>
  </si>
  <si>
    <t>Jannatul Ferdous Ankhi</t>
  </si>
  <si>
    <t>jannatankhi29@gmail.com</t>
  </si>
  <si>
    <t>01851081474</t>
  </si>
  <si>
    <t xml:space="preserve">Monjarin Hossain Shawon </t>
  </si>
  <si>
    <t>monjarinshawon2@gmail.com</t>
  </si>
  <si>
    <t>01816289464</t>
  </si>
  <si>
    <t>MD Jawad Bin kalam</t>
  </si>
  <si>
    <t>jawadkalam1112@gmail.com</t>
  </si>
  <si>
    <t>01756209457</t>
  </si>
  <si>
    <t xml:space="preserve">Hadiya Hibah </t>
  </si>
  <si>
    <t>hadiyahibah@gmail.com</t>
  </si>
  <si>
    <t>01886314035</t>
  </si>
  <si>
    <t xml:space="preserve">Excited </t>
  </si>
  <si>
    <t xml:space="preserve">Md. Kaif Ibn Zaman </t>
  </si>
  <si>
    <t>mibnzaman02@gmail.com</t>
  </si>
  <si>
    <t>01771831180</t>
  </si>
  <si>
    <t xml:space="preserve">MD. Amit Hassan Anik </t>
  </si>
  <si>
    <t>anik.874a@gmail.com</t>
  </si>
  <si>
    <t>01798824088</t>
  </si>
  <si>
    <t xml:space="preserve">Adity Podder </t>
  </si>
  <si>
    <t>aditypodder19@gmail.com</t>
  </si>
  <si>
    <t>01933917606</t>
  </si>
  <si>
    <t>DGH1GF8RR7</t>
  </si>
  <si>
    <t xml:space="preserve">MD.JAHID HASAN PRINCE </t>
  </si>
  <si>
    <t>mdjahidhasanprince10@gmail.com</t>
  </si>
  <si>
    <t>01760976702</t>
  </si>
  <si>
    <t>Mizan</t>
  </si>
  <si>
    <t xml:space="preserve">Mahmudul Hasan Sehab </t>
  </si>
  <si>
    <t>sehabmh26@gmail.com</t>
  </si>
  <si>
    <t>01614145294</t>
  </si>
  <si>
    <t xml:space="preserve">Md Rakib Hoshen </t>
  </si>
  <si>
    <t>mdrakibhoshenrtd555@gmail.com</t>
  </si>
  <si>
    <t>01796665124</t>
  </si>
  <si>
    <t xml:space="preserve">Rubaia Jabin Tahmina </t>
  </si>
  <si>
    <t>tasnimhassan1204@gmail.com</t>
  </si>
  <si>
    <t>01812720209</t>
  </si>
  <si>
    <t>Jannatul Emran</t>
  </si>
  <si>
    <t>jannatulemran848@gmail.com</t>
  </si>
  <si>
    <t>01768220215</t>
  </si>
  <si>
    <t>Physics 54</t>
  </si>
  <si>
    <t>Nabila</t>
  </si>
  <si>
    <t>nabila892024@gmail.com</t>
  </si>
  <si>
    <t>01733749309</t>
  </si>
  <si>
    <t>SBH</t>
  </si>
  <si>
    <t xml:space="preserve">Shamsuzzaman Pathik </t>
  </si>
  <si>
    <t xml:space="preserve">pothik2004@gmail </t>
  </si>
  <si>
    <t>01575096501</t>
  </si>
  <si>
    <t xml:space="preserve">Saifur Rahman </t>
  </si>
  <si>
    <t>20210652890saifur@juniv.edu</t>
  </si>
  <si>
    <t>01882577552</t>
  </si>
  <si>
    <t>mehedihasanmizan082@gmail.com</t>
  </si>
  <si>
    <t>Humaira Islam</t>
  </si>
  <si>
    <t>ihumairaaa@gmail.com</t>
  </si>
  <si>
    <t>01618575881</t>
  </si>
  <si>
    <t>XL 44 29</t>
  </si>
  <si>
    <t xml:space="preserve">Fairuj Humira Esha </t>
  </si>
  <si>
    <t>fairuj.h.esha@gmail.com</t>
  </si>
  <si>
    <t>01933865765</t>
  </si>
  <si>
    <t>01994719093</t>
  </si>
  <si>
    <t>MST. DIL ARA KARIM RUBI</t>
  </si>
  <si>
    <t>dilarakarimrubi@gmail.com</t>
  </si>
  <si>
    <t>01903894499</t>
  </si>
  <si>
    <t xml:space="preserve">Soumik Ghosh </t>
  </si>
  <si>
    <t>soumikgh1604@gmail.com</t>
  </si>
  <si>
    <t>01304314132</t>
  </si>
  <si>
    <t xml:space="preserve">Great </t>
  </si>
  <si>
    <t>MD JASIM UDDIN</t>
  </si>
  <si>
    <t>jasimds@ewubd.edu</t>
  </si>
  <si>
    <t>0921000538</t>
  </si>
  <si>
    <t>Pavel Ahmed</t>
  </si>
  <si>
    <t>pavelahmed019@gmail.com</t>
  </si>
  <si>
    <t>01781005173</t>
  </si>
  <si>
    <t xml:space="preserve">Md. Imranul Hasan </t>
  </si>
  <si>
    <t>mdimranulhasan177@gmail.com</t>
  </si>
  <si>
    <t>01788891701</t>
  </si>
  <si>
    <t xml:space="preserve">Md. Abu Rahat Khandoker </t>
  </si>
  <si>
    <t>aburahat133@gmail.com</t>
  </si>
  <si>
    <t>01782981980</t>
  </si>
  <si>
    <t>DGI3H9TDB9</t>
  </si>
  <si>
    <t>Sonjeeb kumar ruddra</t>
  </si>
  <si>
    <t>Sonjeebrudra@gmail.com</t>
  </si>
  <si>
    <t>01932726093</t>
  </si>
  <si>
    <t>Md Mayeen Uddin</t>
  </si>
  <si>
    <t>maineuddinasif@gmail.com</t>
  </si>
  <si>
    <t>01616966868</t>
  </si>
  <si>
    <t>Mosaraf Hossain</t>
  </si>
  <si>
    <t>Finance&amp; Banking /55</t>
  </si>
  <si>
    <t>mdb848492@gmail.com</t>
  </si>
  <si>
    <t>01405768303</t>
  </si>
  <si>
    <t>Yeasir Arafat</t>
  </si>
  <si>
    <t>marufhasans049@gmail.com</t>
  </si>
  <si>
    <t xml:space="preserve">A.F.M.Kamaluddin </t>
  </si>
  <si>
    <t>01302436936</t>
  </si>
  <si>
    <t>Md Jubayer Ahmed</t>
  </si>
  <si>
    <t>mjubayera18@gmail.com</t>
  </si>
  <si>
    <t>01765676676</t>
  </si>
  <si>
    <t xml:space="preserve">Rajib Chandra Kar </t>
  </si>
  <si>
    <t xml:space="preserve">rajibkar.info@gmail.com </t>
  </si>
  <si>
    <t>01521563258</t>
  </si>
  <si>
    <t>MD Iftekhar Rashid Tasin</t>
  </si>
  <si>
    <t>rashidtasin21@gmail.com</t>
  </si>
  <si>
    <t>01972806690</t>
  </si>
  <si>
    <t xml:space="preserve">MD Atiqur Rahman Ratul </t>
  </si>
  <si>
    <t>atiqurrahman08062005@gmail.com</t>
  </si>
  <si>
    <t>01641752765</t>
  </si>
  <si>
    <t>MD.AL-AMIN</t>
  </si>
  <si>
    <t>mdalamin7e7@gmail.com</t>
  </si>
  <si>
    <t xml:space="preserve">Interested </t>
  </si>
  <si>
    <t>01627457836</t>
  </si>
  <si>
    <t>Ramim</t>
  </si>
  <si>
    <t>fozleyrabby32@gmail.com</t>
  </si>
  <si>
    <t>01676785282</t>
  </si>
  <si>
    <t xml:space="preserve">Anik Howlader </t>
  </si>
  <si>
    <t xml:space="preserve">howladeranik333@gmail </t>
  </si>
  <si>
    <t>01940534488</t>
  </si>
  <si>
    <t>Nahid</t>
  </si>
  <si>
    <t>rahimuln099@gmail.com</t>
  </si>
  <si>
    <t>DGI9H9XA0P</t>
  </si>
  <si>
    <t>01792931314</t>
  </si>
  <si>
    <t>L- 9(Jersey Number)</t>
  </si>
  <si>
    <t xml:space="preserve">Arifur Rahman Arif </t>
  </si>
  <si>
    <t>arifurrahmanarif920@gmail.com</t>
  </si>
  <si>
    <t>01600857785</t>
  </si>
  <si>
    <t xml:space="preserve">Statistics </t>
  </si>
  <si>
    <t>Md. Shajjad Hossain</t>
  </si>
  <si>
    <t>sailorju38@gmail.com</t>
  </si>
  <si>
    <t>01786868693</t>
  </si>
  <si>
    <t>Salam borkot Hall</t>
  </si>
  <si>
    <t>2xl 46 30</t>
  </si>
  <si>
    <t xml:space="preserve">Md. Fariz Uddin Rabbu </t>
  </si>
  <si>
    <t>mdrabbu772@gmail.com</t>
  </si>
  <si>
    <t>01634113672</t>
  </si>
  <si>
    <t xml:space="preserve">Md. Istiak Kabir Aranno </t>
  </si>
  <si>
    <t>istiakkabir52@gmail.com</t>
  </si>
  <si>
    <t>01772868673</t>
  </si>
  <si>
    <t>MD ABDUS SALAM</t>
  </si>
  <si>
    <t>ab.salamraju@gmail.com</t>
  </si>
  <si>
    <t xml:space="preserve">Excellent event </t>
  </si>
  <si>
    <t>01537555552</t>
  </si>
  <si>
    <t xml:space="preserve">Md. Elyeas </t>
  </si>
  <si>
    <t>kmelyeasahmed@gmail.com</t>
  </si>
  <si>
    <t>01308019692</t>
  </si>
  <si>
    <t xml:space="preserve">Shyamoli Das </t>
  </si>
  <si>
    <t>shyamolidas2002bd@gmail.com</t>
  </si>
  <si>
    <t>01719238393</t>
  </si>
  <si>
    <t>DGI9H9XSV1</t>
  </si>
  <si>
    <t>MD. RUBAYED ISLAM</t>
  </si>
  <si>
    <t>rubayed2k20@gmail.com</t>
  </si>
  <si>
    <t>01737226450</t>
  </si>
  <si>
    <t xml:space="preserve">Hasan Mahmud </t>
  </si>
  <si>
    <t>anuhassan743@gmail.com</t>
  </si>
  <si>
    <t>01643417873</t>
  </si>
  <si>
    <t xml:space="preserve">Md Tanim Reza Kallol </t>
  </si>
  <si>
    <t xml:space="preserve">Philosophy </t>
  </si>
  <si>
    <t>tanimreza2111@gmail.com</t>
  </si>
  <si>
    <t>01798086287</t>
  </si>
  <si>
    <t xml:space="preserve">Birprotik Taramonbibi Hall </t>
  </si>
  <si>
    <t>Rezwan Islam Rizvi</t>
  </si>
  <si>
    <t>rezwanrizvi0@gmail.com</t>
  </si>
  <si>
    <t>01909277113</t>
  </si>
  <si>
    <t xml:space="preserve">Raisa Nishat </t>
  </si>
  <si>
    <t>raisanishat21@gmail.com</t>
  </si>
  <si>
    <t>01755791165</t>
  </si>
  <si>
    <t xml:space="preserve">Lamia Rahman Orthy </t>
  </si>
  <si>
    <t>lamiarahmanorthy32@gmail.com</t>
  </si>
  <si>
    <t>01787788313</t>
  </si>
  <si>
    <t xml:space="preserve">Taitan Tangsang </t>
  </si>
  <si>
    <t>taitantangsang@gmail.com</t>
  </si>
  <si>
    <t>01726098500</t>
  </si>
  <si>
    <t>Anjuman Anannya</t>
  </si>
  <si>
    <t>anjumananannya@gmail.com</t>
  </si>
  <si>
    <t>01795682800</t>
  </si>
  <si>
    <t>?</t>
  </si>
  <si>
    <t xml:space="preserve">Mst Riney Khatun </t>
  </si>
  <si>
    <t>mstrineykhatun691@gmail.com</t>
  </si>
  <si>
    <t>01739280610</t>
  </si>
  <si>
    <t xml:space="preserve">Priyanka Sarker </t>
  </si>
  <si>
    <t>priyankasarker692@gmail.com</t>
  </si>
  <si>
    <t>01773473672</t>
  </si>
  <si>
    <t>Md Mahmudul Hasan Shiam</t>
  </si>
  <si>
    <t>mahmudulhasanshiam@gmail.com</t>
  </si>
  <si>
    <t>01752080840</t>
  </si>
  <si>
    <t xml:space="preserve">MD. KHORSED ALAM </t>
  </si>
  <si>
    <t>mdkhorshedbd55@gmail.com</t>
  </si>
  <si>
    <t>01707789076</t>
  </si>
  <si>
    <t>DGI1HAG0GH</t>
  </si>
  <si>
    <t>MD habibur Rahman Sagor</t>
  </si>
  <si>
    <t>mdhabiburrahmansagor7@gmail.com</t>
  </si>
  <si>
    <t>01762159867</t>
  </si>
  <si>
    <t>Md. Shajedul Islam sajid</t>
  </si>
  <si>
    <t>Marketing 53</t>
  </si>
  <si>
    <t>ishajedul46@gmail.com</t>
  </si>
  <si>
    <t>01613040674</t>
  </si>
  <si>
    <t xml:space="preserve">Shaheed Rafiq Jabbar Hall </t>
  </si>
  <si>
    <t>Sajjad Hossain</t>
  </si>
  <si>
    <t>hoosain.sajjad@gmail.com</t>
  </si>
  <si>
    <t>01755367448</t>
  </si>
  <si>
    <t>Md. Khademul Islam</t>
  </si>
  <si>
    <t>khademulrcs20@gmail.com</t>
  </si>
  <si>
    <t>01929134869</t>
  </si>
  <si>
    <t>Rabeya Akter Nilima</t>
  </si>
  <si>
    <t>nilima0346@gmail.com</t>
  </si>
  <si>
    <t xml:space="preserve">Hope to experience a better management. It will be a nice experience. </t>
  </si>
  <si>
    <t>01632728360</t>
  </si>
  <si>
    <t xml:space="preserve">Afrin Akter Snigdha </t>
  </si>
  <si>
    <t>snigdha60111@gmail.com</t>
  </si>
  <si>
    <t>01942030886</t>
  </si>
  <si>
    <t>Mst: Sumaya Parvin</t>
  </si>
  <si>
    <t>sumayaparvin51batch1847@gmail.com</t>
  </si>
  <si>
    <t>01640043503</t>
  </si>
  <si>
    <t xml:space="preserve">Md. Palash Ahmed </t>
  </si>
  <si>
    <t>palashahmed7276@gmail.com</t>
  </si>
  <si>
    <t>01580597276</t>
  </si>
  <si>
    <t xml:space="preserve">Md.Rifadul Islam Bhuiyan </t>
  </si>
  <si>
    <t xml:space="preserve">Rubina Akter </t>
  </si>
  <si>
    <t>rubinamim985@gmail.com</t>
  </si>
  <si>
    <t>01741424190</t>
  </si>
  <si>
    <t>Md.Musfiqur Rahman Asif</t>
  </si>
  <si>
    <t>asif742004@gmail.com</t>
  </si>
  <si>
    <t xml:space="preserve">Kazi Nazrul Islam </t>
  </si>
  <si>
    <t>01997131306</t>
  </si>
  <si>
    <t>Maya Akter</t>
  </si>
  <si>
    <t>mdrifadulrifat@gmail.com</t>
  </si>
  <si>
    <t>mayaakter9356@gmail.com</t>
  </si>
  <si>
    <t>01790766288</t>
  </si>
  <si>
    <t>01410687818</t>
  </si>
  <si>
    <t xml:space="preserve">Tasnova Reza </t>
  </si>
  <si>
    <t>tasnovareza2@gmail.com</t>
  </si>
  <si>
    <t>01779124834</t>
  </si>
  <si>
    <t xml:space="preserve">Ummy Mahjabin </t>
  </si>
  <si>
    <t>ummymahjabin694@gmail.com</t>
  </si>
  <si>
    <t>01738879038</t>
  </si>
  <si>
    <t xml:space="preserve">Rubayet Nafiz Mustak Jelan </t>
  </si>
  <si>
    <t>rjjelan@gmail.com</t>
  </si>
  <si>
    <t>01521255714</t>
  </si>
  <si>
    <t>Mohammad Ashikur Rahman Khan  Titas</t>
  </si>
  <si>
    <t xml:space="preserve">titasju1978@gmail </t>
  </si>
  <si>
    <t>01552398044</t>
  </si>
  <si>
    <t xml:space="preserve">Harun Ar Rashid </t>
  </si>
  <si>
    <t xml:space="preserve">harun86gp@gmail </t>
  </si>
  <si>
    <t>01612433839</t>
  </si>
  <si>
    <t>DGI9HBFYG1</t>
  </si>
  <si>
    <t xml:space="preserve">Rajin Hossain Imran </t>
  </si>
  <si>
    <t>rajinhossainimran@gmail.com</t>
  </si>
  <si>
    <t>01822569177</t>
  </si>
  <si>
    <t>History 53</t>
  </si>
  <si>
    <t xml:space="preserve">Nipatul Hasan Nirob </t>
  </si>
  <si>
    <t>nipatulhasan@gmail.com</t>
  </si>
  <si>
    <t xml:space="preserve">Shaheed Salam Barkat Hall </t>
  </si>
  <si>
    <t>01518921973</t>
  </si>
  <si>
    <t xml:space="preserve">Ahmed Arefin Ratul </t>
  </si>
  <si>
    <t>arefinratul3@gmail.com</t>
  </si>
  <si>
    <t>01617792134</t>
  </si>
  <si>
    <t>Afifa Tabassum</t>
  </si>
  <si>
    <t>afifa.tabassum.ch@gmail.com</t>
  </si>
  <si>
    <t>01973317353</t>
  </si>
  <si>
    <t xml:space="preserve">Tafhim Islam Adnan </t>
  </si>
  <si>
    <t>tafhimislam1020@gmail.com</t>
  </si>
  <si>
    <t>01408996019</t>
  </si>
  <si>
    <t xml:space="preserve">Excited!! </t>
  </si>
  <si>
    <t xml:space="preserve">Mahathir Muhammad </t>
  </si>
  <si>
    <t>mahathirmahathir095@gmail.com</t>
  </si>
  <si>
    <t>01706221276</t>
  </si>
  <si>
    <t>S. M. Shahriar Hossain</t>
  </si>
  <si>
    <t>smshahriararnob@gmail.com</t>
  </si>
  <si>
    <t>01978749551</t>
  </si>
  <si>
    <t>DGI0HBJ8B4</t>
  </si>
  <si>
    <t xml:space="preserve">Md. Junayed Islam </t>
  </si>
  <si>
    <t>junayedislam1001@gmail.com</t>
  </si>
  <si>
    <t>01537122653</t>
  </si>
  <si>
    <t xml:space="preserve">Nishat Tarannum </t>
  </si>
  <si>
    <t>tarannumn950@gmail.com</t>
  </si>
  <si>
    <t>Geography and Environment</t>
  </si>
  <si>
    <t>01894635701</t>
  </si>
  <si>
    <t>Abdullah Mahmud Sajid</t>
  </si>
  <si>
    <t>Rabindranath Tagore Hall</t>
  </si>
  <si>
    <t>sajidjm30@gmail.com</t>
  </si>
  <si>
    <t>01933661848</t>
  </si>
  <si>
    <t>Sadman Sakib Zisan</t>
  </si>
  <si>
    <t>sadmansakibzisan12345@gmail.com</t>
  </si>
  <si>
    <t>8801410454048</t>
  </si>
  <si>
    <t>I don’t know</t>
  </si>
  <si>
    <t>Emam Hossain Imran</t>
  </si>
  <si>
    <t>imran71100@gmail.com</t>
  </si>
  <si>
    <t>01628585959</t>
  </si>
  <si>
    <t xml:space="preserve">Tanvir Ahmed Shishir </t>
  </si>
  <si>
    <t xml:space="preserve">Must add pro. photographers for taking pictures of runner along the entire event. </t>
  </si>
  <si>
    <t>tanvir.a.shishir@gmail.com</t>
  </si>
  <si>
    <t>01913199932</t>
  </si>
  <si>
    <t>Saraf Nower Prionty</t>
  </si>
  <si>
    <t>priontysaraf@gmail.com</t>
  </si>
  <si>
    <t>01743832397</t>
  </si>
  <si>
    <t>Ruhanita Huq</t>
  </si>
  <si>
    <t>ruhanitahuq8@gmail.com</t>
  </si>
  <si>
    <t>01841454541</t>
  </si>
  <si>
    <t>xl</t>
  </si>
  <si>
    <t>DGI5HBLR4F</t>
  </si>
  <si>
    <t xml:space="preserve">Md. Shafaat Jamil Likhon </t>
  </si>
  <si>
    <t>mdshafaatjamillikhon@gmail</t>
  </si>
  <si>
    <t>01873019705</t>
  </si>
  <si>
    <t>Samia Nadia</t>
  </si>
  <si>
    <t>samianadia710@gmail.com</t>
  </si>
  <si>
    <t>01746-649561</t>
  </si>
  <si>
    <t>Anthropology 49</t>
  </si>
  <si>
    <t xml:space="preserve">Sheikh Faisal Mahmud </t>
  </si>
  <si>
    <t>faisalmahmudnabil21@gmail.com</t>
  </si>
  <si>
    <t>01871985471</t>
  </si>
  <si>
    <t>Joyanta Tripura</t>
  </si>
  <si>
    <t>joyantatripura98@gmail.com</t>
  </si>
  <si>
    <t>01631625787</t>
  </si>
  <si>
    <t>Md. Minhaz Maruf</t>
  </si>
  <si>
    <t>mdminhazmaruf22@gmail.com</t>
  </si>
  <si>
    <t>01740100390</t>
  </si>
  <si>
    <t>PROTTOY</t>
  </si>
  <si>
    <t>prottoyprottoy480@gmail.com</t>
  </si>
  <si>
    <t>01746694427</t>
  </si>
  <si>
    <t>From the past experience I would suggest, try to organize it more efficiently.</t>
  </si>
  <si>
    <t>Kona Das</t>
  </si>
  <si>
    <t>kdkona10@gmail.com</t>
  </si>
  <si>
    <t>01330577852</t>
  </si>
  <si>
    <t>Nishat Islam</t>
  </si>
  <si>
    <t>ni5025573@gmail.com</t>
  </si>
  <si>
    <t>01312660098</t>
  </si>
  <si>
    <t>L (42/28)</t>
  </si>
  <si>
    <t xml:space="preserve">Tasnia Hossain Druti </t>
  </si>
  <si>
    <t>tasnia.druti@gmail.com</t>
  </si>
  <si>
    <t>DGI2HBYJTW</t>
  </si>
  <si>
    <t>01845822818</t>
  </si>
  <si>
    <t>Sabikun Nahar</t>
  </si>
  <si>
    <t>sabikunnahar1002@gmail.com</t>
  </si>
  <si>
    <t>01703691882</t>
  </si>
  <si>
    <t>Jannatul Fardousee Hridy</t>
  </si>
  <si>
    <t>Economics</t>
  </si>
  <si>
    <t>jannatul.stu.ju@gmail.com</t>
  </si>
  <si>
    <t>01765681839</t>
  </si>
  <si>
    <t>Shaheed Taj Uddin Ahmed hall</t>
  </si>
  <si>
    <t xml:space="preserve">Jarin Raima </t>
  </si>
  <si>
    <t>jarinraima8@gmail.com</t>
  </si>
  <si>
    <t>01941527477</t>
  </si>
  <si>
    <t xml:space="preserve">Razzak Mazumder </t>
  </si>
  <si>
    <t>rajujms42@gmail.com</t>
  </si>
  <si>
    <t>01623506447</t>
  </si>
  <si>
    <t>Xl 44 29</t>
  </si>
  <si>
    <t xml:space="preserve">M S Ahammed </t>
  </si>
  <si>
    <t>osamasabbir786@gmail.com</t>
  </si>
  <si>
    <t>01560030587</t>
  </si>
  <si>
    <t xml:space="preserve">MD. ROKUNUZZAMAN </t>
  </si>
  <si>
    <t>razukhan43ju@gmail.com</t>
  </si>
  <si>
    <t xml:space="preserve">প্রশংসনীয় উদ্যোগ </t>
  </si>
  <si>
    <t>01763104215</t>
  </si>
  <si>
    <t>Ahnaf Intisar Alif</t>
  </si>
  <si>
    <t>intisaralif0019@gmail.com</t>
  </si>
  <si>
    <t>01312297430</t>
  </si>
  <si>
    <t>Nishat Mobashwera Khan</t>
  </si>
  <si>
    <t>nishatkhan.ju@gmail.com</t>
  </si>
  <si>
    <t>01674328150</t>
  </si>
  <si>
    <t>DGI7HC1YCB</t>
  </si>
  <si>
    <t>Md. Habibur Rahman</t>
  </si>
  <si>
    <t>juhabib50@gmail.com</t>
  </si>
  <si>
    <t>01303420898</t>
  </si>
  <si>
    <t>Zunaid Mahi</t>
  </si>
  <si>
    <t>mahizunaid924@gmail.com</t>
  </si>
  <si>
    <t>01703255266</t>
  </si>
  <si>
    <t>Bangla-51</t>
  </si>
  <si>
    <t xml:space="preserve">Md. Iftekhar Hossain Nafin </t>
  </si>
  <si>
    <t>iftekharh0ssain12354@gmail.com</t>
  </si>
  <si>
    <t>01776915156</t>
  </si>
  <si>
    <t xml:space="preserve">Shahid Tajuddin Ahmed Hall </t>
  </si>
  <si>
    <t xml:space="preserve">Minhazul Hasan Abir </t>
  </si>
  <si>
    <t>minhazulhasan76@gmail.com</t>
  </si>
  <si>
    <t>01518961445</t>
  </si>
  <si>
    <t xml:space="preserve">Ridwana Islam </t>
  </si>
  <si>
    <t>ridwanaju@gmail.com</t>
  </si>
  <si>
    <t>01791334993</t>
  </si>
  <si>
    <t>Mahfujul Haque</t>
  </si>
  <si>
    <t>contact.mahfujul@gmail.com</t>
  </si>
  <si>
    <t>01518986029</t>
  </si>
  <si>
    <t>.....</t>
  </si>
  <si>
    <t xml:space="preserve">saidul Islam </t>
  </si>
  <si>
    <t>si915130@gmail.com</t>
  </si>
  <si>
    <t>01893366140</t>
  </si>
  <si>
    <t>Ikramul Hasan Sifat</t>
  </si>
  <si>
    <t>ikramulhasansifat439@gmail.com</t>
  </si>
  <si>
    <t>01303470201</t>
  </si>
  <si>
    <t>DGI2HCFCWE</t>
  </si>
  <si>
    <t xml:space="preserve">Mahbub </t>
  </si>
  <si>
    <t>mmmahbubju52@gmail.com</t>
  </si>
  <si>
    <t>01819063048/01581014003</t>
  </si>
  <si>
    <t>Musaib Sheikh Sami</t>
  </si>
  <si>
    <t>musaibsheikh.2028@gmail.com</t>
  </si>
  <si>
    <t>01608871404</t>
  </si>
  <si>
    <t>CSE 50</t>
  </si>
  <si>
    <t xml:space="preserve">Md Sourov Islam </t>
  </si>
  <si>
    <t>mdsourovislam292@gmail.com</t>
  </si>
  <si>
    <t>STAH</t>
  </si>
  <si>
    <t>01999153211</t>
  </si>
  <si>
    <t>Srabon</t>
  </si>
  <si>
    <t>saj143aas@gmail.com</t>
  </si>
  <si>
    <t>01626364688</t>
  </si>
  <si>
    <t xml:space="preserve">Khadijatul Lamiya  </t>
  </si>
  <si>
    <t>khadijatul.lamiya2005@gmail.com</t>
  </si>
  <si>
    <t>01714319704</t>
  </si>
  <si>
    <t>Rusnat Ramisa</t>
  </si>
  <si>
    <t>It would be better to start at 6.00 AM</t>
  </si>
  <si>
    <t>srjramisa08@gmail.com</t>
  </si>
  <si>
    <t>01869330827</t>
  </si>
  <si>
    <t xml:space="preserve">Shahed Sajeeb </t>
  </si>
  <si>
    <t>Sdsajeeb5@gmail.com</t>
  </si>
  <si>
    <t>01786340503</t>
  </si>
  <si>
    <t>Md.Abdur Rahman Ullash</t>
  </si>
  <si>
    <t>ullashmd777@gmail.com</t>
  </si>
  <si>
    <t>01938049662</t>
  </si>
  <si>
    <t>DGI0HCFJLG</t>
  </si>
  <si>
    <t>Rakibul Islam Rafi</t>
  </si>
  <si>
    <t>rakibjufnb@gmail.com</t>
  </si>
  <si>
    <t>01752911310</t>
  </si>
  <si>
    <t xml:space="preserve">MD. Zakaria Mehrab </t>
  </si>
  <si>
    <t xml:space="preserve">Anthropology </t>
  </si>
  <si>
    <t>zakaria23mehrab@gmail.com</t>
  </si>
  <si>
    <t>01718011290</t>
  </si>
  <si>
    <t xml:space="preserve">Birprothik Taramon bibi hall </t>
  </si>
  <si>
    <t xml:space="preserve">Tahiratul Sumaia </t>
  </si>
  <si>
    <t>tahiratul57@gmail.com</t>
  </si>
  <si>
    <t>01875960357</t>
  </si>
  <si>
    <t>Md Muzammel miaje</t>
  </si>
  <si>
    <t>muzammelmiajee@gmail.com</t>
  </si>
  <si>
    <t>01818286910</t>
  </si>
  <si>
    <t>Mst.Airin Nahar</t>
  </si>
  <si>
    <t>airinanchol999@gmail.com</t>
  </si>
  <si>
    <t>01308589582</t>
  </si>
  <si>
    <t xml:space="preserve">Md. Shahadat Islam </t>
  </si>
  <si>
    <t>shahadatabhi.ju@gmail.com</t>
  </si>
  <si>
    <t>01791533335</t>
  </si>
  <si>
    <t>Mahodi</t>
  </si>
  <si>
    <t>abdullahalmahodi@gmail.com</t>
  </si>
  <si>
    <t>01887853447</t>
  </si>
  <si>
    <t xml:space="preserve">Mehedi Hasan </t>
  </si>
  <si>
    <t>mmh514755@gmail.com</t>
  </si>
  <si>
    <t>01918045829</t>
  </si>
  <si>
    <t>DGI7HCNMJ9</t>
  </si>
  <si>
    <t xml:space="preserve">Lima Khatun </t>
  </si>
  <si>
    <t>meemkhanom007@gmail.com</t>
  </si>
  <si>
    <t>01789336747</t>
  </si>
  <si>
    <t xml:space="preserve">Rafi Islam </t>
  </si>
  <si>
    <t>26rafiislam@gmail.com</t>
  </si>
  <si>
    <t>01309647557</t>
  </si>
  <si>
    <t>Turjoy Acharja</t>
  </si>
  <si>
    <t>turjoyacharja@gmail.com</t>
  </si>
  <si>
    <t>01344385932</t>
  </si>
  <si>
    <t>RAKIB</t>
  </si>
  <si>
    <t>mdrakib19902020@gmail.com</t>
  </si>
  <si>
    <t>01852662406</t>
  </si>
  <si>
    <t>Sabrina Khan</t>
  </si>
  <si>
    <t>sabrinakhan5001@gmail.com</t>
  </si>
  <si>
    <t>01953335589</t>
  </si>
  <si>
    <t>Mehedi Hasan</t>
  </si>
  <si>
    <t>mantenet15@gmail.com</t>
  </si>
  <si>
    <t>01615244320</t>
  </si>
  <si>
    <t xml:space="preserve">Mahir Foysal </t>
  </si>
  <si>
    <t>themahir000@gamil.com</t>
  </si>
  <si>
    <t>01946596733</t>
  </si>
  <si>
    <t>Tanjimul Islam Nafis</t>
  </si>
  <si>
    <t>nafistnjm@gmail.com</t>
  </si>
  <si>
    <t>01868265540</t>
  </si>
  <si>
    <t xml:space="preserve">MOST. TASNIA SULTANA TONOYA </t>
  </si>
  <si>
    <t>tasnia20012007@gmail.com</t>
  </si>
  <si>
    <t>01602479419</t>
  </si>
  <si>
    <t>DGI5HD612B</t>
  </si>
  <si>
    <t xml:space="preserve">Md Nishan Khan </t>
  </si>
  <si>
    <t>nishanjueng52@gmail.com</t>
  </si>
  <si>
    <t>01885189447</t>
  </si>
  <si>
    <t>Shohag Ibn Rashid</t>
  </si>
  <si>
    <t>mri.shohag1205@gmail.com</t>
  </si>
  <si>
    <t>01601701478</t>
  </si>
  <si>
    <t>Geological Sciences/52batch</t>
  </si>
  <si>
    <t>Setu</t>
  </si>
  <si>
    <t>yeasminsetu0@gmail.com</t>
  </si>
  <si>
    <t>01615284604</t>
  </si>
  <si>
    <t>Jatiya Kabi Kazi Nazrul Islam Hall</t>
  </si>
  <si>
    <t xml:space="preserve">Tanisha Islam </t>
  </si>
  <si>
    <t>itanisha926@gmail.com</t>
  </si>
  <si>
    <t>01754284787</t>
  </si>
  <si>
    <t>Shouharda Roy Simel</t>
  </si>
  <si>
    <t>shouhardaroy01@gmail.com</t>
  </si>
  <si>
    <t>01722417205</t>
  </si>
  <si>
    <t xml:space="preserve">Nafisa Rushd </t>
  </si>
  <si>
    <t>nafisarushd@gmail.com</t>
  </si>
  <si>
    <t>01622455783</t>
  </si>
  <si>
    <t>Fahmida Jannat</t>
  </si>
  <si>
    <t>fahmidajannat712@gmail.com</t>
  </si>
  <si>
    <t>01575823556</t>
  </si>
  <si>
    <t>The run must be started in the exact time.</t>
  </si>
  <si>
    <t>Md Mamunur Reza</t>
  </si>
  <si>
    <t>mdmamunurreza@gmail.com</t>
  </si>
  <si>
    <t>01774404886</t>
  </si>
  <si>
    <t xml:space="preserve">Farmila Easmin Esha </t>
  </si>
  <si>
    <t>farmilaeasmin@gmail.com</t>
  </si>
  <si>
    <t>01746870481</t>
  </si>
  <si>
    <t>Muzahidul Islam</t>
  </si>
  <si>
    <t>muzahidulislam4002@gmail.com</t>
  </si>
  <si>
    <t>DGI7HDCCQH</t>
  </si>
  <si>
    <t>01325832107</t>
  </si>
  <si>
    <t>Md. Masum</t>
  </si>
  <si>
    <t>masumhasan180@gmail.com</t>
  </si>
  <si>
    <t>01630409167</t>
  </si>
  <si>
    <t>Geological Sciences 52</t>
  </si>
  <si>
    <t xml:space="preserve">NAEEMUR RAHMAN </t>
  </si>
  <si>
    <t>naeem24625@gmail.com</t>
  </si>
  <si>
    <t>01867622311</t>
  </si>
  <si>
    <t xml:space="preserve">Jatiya Kabi Kazi Nazrul Islam Hall </t>
  </si>
  <si>
    <t>Sayed Shafiul Maznobin</t>
  </si>
  <si>
    <t>sayedshafiulmaznobin@gmail.com</t>
  </si>
  <si>
    <t>01723801071</t>
  </si>
  <si>
    <t xml:space="preserve">Ahasanul Haque Abir </t>
  </si>
  <si>
    <t>abirmolla595@gmail.com</t>
  </si>
  <si>
    <t>01646183568</t>
  </si>
  <si>
    <t xml:space="preserve">Md Mejanur Rahman </t>
  </si>
  <si>
    <t>mejanir17@gmail.com</t>
  </si>
  <si>
    <t>01728510652</t>
  </si>
  <si>
    <t>2xL</t>
  </si>
  <si>
    <t xml:space="preserve">MD SAJU RAHMAN </t>
  </si>
  <si>
    <t>Looking forward to it</t>
  </si>
  <si>
    <t>sajukhan123420@gmail.com</t>
  </si>
  <si>
    <t>01810475420</t>
  </si>
  <si>
    <t xml:space="preserve">MD. Mehedi Hassan </t>
  </si>
  <si>
    <t>mehedihasan1067@gmail.com</t>
  </si>
  <si>
    <t>01797131772</t>
  </si>
  <si>
    <t>DGI3HDTJ73</t>
  </si>
  <si>
    <t>tawhidju45@gmail.com</t>
  </si>
  <si>
    <t>1775706988</t>
  </si>
  <si>
    <t xml:space="preserve">Sahabul Haque </t>
  </si>
  <si>
    <t>saha.justat.49@gmail.com</t>
  </si>
  <si>
    <t>01605674605</t>
  </si>
  <si>
    <t xml:space="preserve">Environmental Sciences , 52 </t>
  </si>
  <si>
    <t xml:space="preserve">Md.istiak Ahmed </t>
  </si>
  <si>
    <t>istiakahmedsohan57@gmail.com</t>
  </si>
  <si>
    <t>01717999338</t>
  </si>
  <si>
    <t xml:space="preserve">Biswa Kabi Rabindranath Tagore Hall </t>
  </si>
  <si>
    <t xml:space="preserve">Fabia Akter Toma </t>
  </si>
  <si>
    <t>fabiatoma27@gmail.com</t>
  </si>
  <si>
    <t>01706270118</t>
  </si>
  <si>
    <t xml:space="preserve">Tanu Malakar </t>
  </si>
  <si>
    <t>tanumalakar247@gmail.com</t>
  </si>
  <si>
    <t>01633957552</t>
  </si>
  <si>
    <t xml:space="preserve">Mymona Jannat Mokta </t>
  </si>
  <si>
    <t>mymonamokta365@gmail.com</t>
  </si>
  <si>
    <t>01603100693</t>
  </si>
  <si>
    <t>L size</t>
  </si>
  <si>
    <t>Md Tohidul Newaz Himel</t>
  </si>
  <si>
    <t>newazhimel7484@gmail.com</t>
  </si>
  <si>
    <t>01306263595</t>
  </si>
  <si>
    <t>Zilani</t>
  </si>
  <si>
    <t>abdulkadirzilani92@gmail.com</t>
  </si>
  <si>
    <t>01319313108</t>
  </si>
  <si>
    <t>Good initiative and Thanks to JUCSU.</t>
  </si>
  <si>
    <t>AL-IMRAN</t>
  </si>
  <si>
    <t>alimran2003.2024@gmail.com</t>
  </si>
  <si>
    <t>01759793200</t>
  </si>
  <si>
    <t>Mamun</t>
  </si>
  <si>
    <t>mamunparvejs@gmail.com</t>
  </si>
  <si>
    <t>+880 1719-355187</t>
  </si>
  <si>
    <t>Md Humaon Kabir</t>
  </si>
  <si>
    <t>humaonkabir2003@gmail.com</t>
  </si>
  <si>
    <t>01743637814</t>
  </si>
  <si>
    <t xml:space="preserve">khyrul Islam Akas </t>
  </si>
  <si>
    <t>khyrulislamakas@gmail.com</t>
  </si>
  <si>
    <t>01624093916</t>
  </si>
  <si>
    <t>DGI5HE5NAL</t>
  </si>
  <si>
    <t xml:space="preserve">Md Momin Sikdar </t>
  </si>
  <si>
    <t>20260863136momin@juniv.edu</t>
  </si>
  <si>
    <t>01407733120</t>
  </si>
  <si>
    <t>Abdullah</t>
  </si>
  <si>
    <t>abdullahallemam55@gmail.com</t>
  </si>
  <si>
    <t>01824524513</t>
  </si>
  <si>
    <t>Mohammad Sohag</t>
  </si>
  <si>
    <t>20220554922sohag@juniv.edu</t>
  </si>
  <si>
    <t>Geological Sciences</t>
  </si>
  <si>
    <t>01751452644</t>
  </si>
  <si>
    <t xml:space="preserve">Tanvir Manowar Siyam </t>
  </si>
  <si>
    <t>tanvirsiyam77@gmail.com</t>
  </si>
  <si>
    <t>01522135451</t>
  </si>
  <si>
    <t>Jatiya kabi Kazi Nazrul Islam Hall</t>
  </si>
  <si>
    <t>IMTIAJ AHMED NILOY</t>
  </si>
  <si>
    <t>ianiloy2001@gmail.com</t>
  </si>
  <si>
    <t>01610700513</t>
  </si>
  <si>
    <t xml:space="preserve">Chandra Bindu </t>
  </si>
  <si>
    <t>shorif.chem@gmail.com</t>
  </si>
  <si>
    <t>01760036262</t>
  </si>
  <si>
    <t xml:space="preserve">Anindita Haque Prova </t>
  </si>
  <si>
    <t>aninditaprova7@gmail.com</t>
  </si>
  <si>
    <t>01629006503</t>
  </si>
  <si>
    <t xml:space="preserve">Sudepto Bain </t>
  </si>
  <si>
    <t>sudeptobain157@gmail.com</t>
  </si>
  <si>
    <t>01611160899</t>
  </si>
  <si>
    <t xml:space="preserve">The medal and the Certificate should be professional enough. </t>
  </si>
  <si>
    <t>RABBI</t>
  </si>
  <si>
    <t>limonrabbi678@gmail.com</t>
  </si>
  <si>
    <t>01926517876</t>
  </si>
  <si>
    <t xml:space="preserve">Rakibul Islam </t>
  </si>
  <si>
    <t>rakibulislam258789@gmail.com</t>
  </si>
  <si>
    <t>01314900665</t>
  </si>
  <si>
    <t xml:space="preserve">Jannatul Afra Niha </t>
  </si>
  <si>
    <t>DGI7HEWXNX</t>
  </si>
  <si>
    <t>jannatulafra80@gmail.com</t>
  </si>
  <si>
    <t>01806592239</t>
  </si>
  <si>
    <t xml:space="preserve">Mustahid Hasan Lazim </t>
  </si>
  <si>
    <t>mustahidhasanlazim@gmail.com</t>
  </si>
  <si>
    <t>01840631989</t>
  </si>
  <si>
    <t>Statistics and Data Science 48</t>
  </si>
  <si>
    <t xml:space="preserve">Mowlana Bhashani Hall </t>
  </si>
  <si>
    <t>Sofiqul Islam</t>
  </si>
  <si>
    <t xml:space="preserve">sofiqulislam.ju@gmail.com </t>
  </si>
  <si>
    <t>01323076979</t>
  </si>
  <si>
    <t xml:space="preserve">Md Niaz Khandoker </t>
  </si>
  <si>
    <t xml:space="preserve">niazkhandaker47@gmail.com </t>
  </si>
  <si>
    <t>01740057522</t>
  </si>
  <si>
    <t xml:space="preserve">Shahriar Noor Zonak </t>
  </si>
  <si>
    <t>shahriarzonak087@gmail.com</t>
  </si>
  <si>
    <t>01725429768</t>
  </si>
  <si>
    <t>Ashraful Prodhan</t>
  </si>
  <si>
    <t>mahadimicro@gmail.com</t>
  </si>
  <si>
    <t>01825040621</t>
  </si>
  <si>
    <t>2Xl</t>
  </si>
  <si>
    <t>Hoping for a beautiful, well-organized event!</t>
  </si>
  <si>
    <t>Kishor Kumar</t>
  </si>
  <si>
    <t>kishorsarker512@gmail.com</t>
  </si>
  <si>
    <t>01304557837</t>
  </si>
  <si>
    <t>DGI7HEZDKD</t>
  </si>
  <si>
    <t>Statistics and data science , 51</t>
  </si>
  <si>
    <t xml:space="preserve">Mir Mosharraf Hossain </t>
  </si>
  <si>
    <t>DGI0HFDFGY</t>
  </si>
  <si>
    <t>English 51</t>
  </si>
  <si>
    <t xml:space="preserve">AFM Kamal Uddin </t>
  </si>
  <si>
    <t>Hope for best</t>
  </si>
  <si>
    <t>DGI8HFDBIO</t>
  </si>
  <si>
    <t xml:space="preserve">Jatiyo kobi kaji nazrul islam hall </t>
  </si>
  <si>
    <t>Ai rokom every month e organize koiren😑</t>
  </si>
  <si>
    <t>DGI0HFF5M6</t>
  </si>
  <si>
    <t>Department of Geography and Environment - 55</t>
  </si>
  <si>
    <t>Shaheed Salam-Barkat Hall</t>
  </si>
  <si>
    <t xml:space="preserve">I am so glad to be a part of this journey </t>
  </si>
  <si>
    <t>DGI1HFTRDZ</t>
  </si>
  <si>
    <t>Biochemistry and Molecular Biology, 54</t>
  </si>
  <si>
    <t xml:space="preserve">I'm excited for it . let's go </t>
  </si>
  <si>
    <t>DGI6HG557G</t>
  </si>
  <si>
    <t>Economics/55</t>
  </si>
  <si>
    <t>I am very excited to participate the marathon event.</t>
  </si>
  <si>
    <t>DGI9HGC4W3</t>
  </si>
  <si>
    <t>English -51</t>
  </si>
  <si>
    <t>Shaheed Tajuddin Ahmed Hall</t>
  </si>
  <si>
    <t>মেডেল ভালো চাই।</t>
  </si>
  <si>
    <t>DGI7HGM8JP</t>
  </si>
  <si>
    <t>Economics/ 55</t>
  </si>
  <si>
    <t xml:space="preserve">Jatiya Kabi kazi Nazrul Islam Hall </t>
  </si>
  <si>
    <t>Ju</t>
  </si>
  <si>
    <t>DGI3HHHDFT</t>
  </si>
  <si>
    <t>Physics-51</t>
  </si>
  <si>
    <t>Shaheed Tajuddin Ahmad Hall</t>
  </si>
  <si>
    <t>An amazing experience awaits me.</t>
  </si>
  <si>
    <t>DGI8HI1P70</t>
  </si>
  <si>
    <t>English, 31</t>
  </si>
  <si>
    <t>SSB Hall</t>
  </si>
  <si>
    <t>Good</t>
  </si>
  <si>
    <t>DGI4HGUDBM</t>
  </si>
  <si>
    <t>Rakib</t>
  </si>
  <si>
    <t>IIT/49</t>
  </si>
  <si>
    <t>NSH</t>
  </si>
  <si>
    <t>wrmachine444@gmail.com</t>
  </si>
  <si>
    <t>01622251640</t>
  </si>
  <si>
    <t>Rh</t>
  </si>
  <si>
    <t>DGI9HIR1ER</t>
  </si>
  <si>
    <t xml:space="preserve">Public administration, 51 batch </t>
  </si>
  <si>
    <t xml:space="preserve">Rokeya Hall </t>
  </si>
  <si>
    <t>DGI6HJ1T78</t>
  </si>
  <si>
    <t>PHILOSOPHY 51</t>
  </si>
  <si>
    <t>KAZI NAZRUL ISLAM HALL</t>
  </si>
  <si>
    <t xml:space="preserve">Sharif Mohammad </t>
  </si>
  <si>
    <t>DGI2HJE12Y</t>
  </si>
  <si>
    <t>Chemistry 53</t>
  </si>
  <si>
    <t xml:space="preserve">A F M Kamaluddin Hall </t>
  </si>
  <si>
    <t>Enjoy event.</t>
  </si>
  <si>
    <t>DGI6HKK4ZA</t>
  </si>
  <si>
    <t>Accounting and Information Systems 55</t>
  </si>
  <si>
    <t xml:space="preserve">Al Beruni </t>
  </si>
  <si>
    <t>DGI8HLA29O</t>
  </si>
  <si>
    <t>Zoology /52</t>
  </si>
  <si>
    <t xml:space="preserve">Jatiya Kabi Nazrul Islam Hall </t>
  </si>
  <si>
    <t xml:space="preserve">Good for All. </t>
  </si>
  <si>
    <t>DGI0HLN022</t>
  </si>
  <si>
    <t>Public Health and Informatics, 49 batch</t>
  </si>
  <si>
    <t xml:space="preserve">Hope a great event </t>
  </si>
  <si>
    <t>DGI6HM220I</t>
  </si>
  <si>
    <t>Geological Sciences/48</t>
  </si>
  <si>
    <t>A F M Kamaluddin Hall</t>
  </si>
  <si>
    <t>Comments about what?</t>
  </si>
  <si>
    <t>DGI6HMCSIO</t>
  </si>
  <si>
    <t>Biochemistry and molecular biology -53</t>
  </si>
  <si>
    <t xml:space="preserve">AFM kamaluddin hall </t>
  </si>
  <si>
    <t>Ok</t>
  </si>
  <si>
    <t>DGI5HMFCA9</t>
  </si>
  <si>
    <t>Cse 52</t>
  </si>
  <si>
    <t xml:space="preserve">Kazi Nazrul Islam hall </t>
  </si>
  <si>
    <t>Nothing to say</t>
  </si>
  <si>
    <t>DGI2HMCTFM</t>
  </si>
  <si>
    <t>Biochemistry &amp; Molecular Biology /49</t>
  </si>
  <si>
    <t>Mir Mosharraf Hossain Hall</t>
  </si>
  <si>
    <t>Great event</t>
  </si>
  <si>
    <t>DGI2HM6PIE</t>
  </si>
  <si>
    <t>Philosophy (52 batch)</t>
  </si>
  <si>
    <t xml:space="preserve">Birprotik Taramon  Bibi  Hall   </t>
  </si>
  <si>
    <t>DGI1HMS5FJ</t>
  </si>
  <si>
    <t>Shaheed Felani Khatum Hall</t>
  </si>
  <si>
    <t>DGI2HMROFC</t>
  </si>
  <si>
    <t>Chemistry-49th Batch</t>
  </si>
  <si>
    <t xml:space="preserve">Nawab Salimullah hall </t>
  </si>
  <si>
    <t>A different kind of event. look forward to participating.</t>
  </si>
  <si>
    <t xml:space="preserve"> DGI4HMV35Q</t>
  </si>
  <si>
    <t>Bishwakobi Rabindranath Tagore Hall</t>
  </si>
  <si>
    <t>Hope for the best</t>
  </si>
  <si>
    <t>DGI7HNFM7D</t>
  </si>
  <si>
    <t>Microbiology/ 50</t>
  </si>
  <si>
    <t>Sohid Felani Khatun Hall</t>
  </si>
  <si>
    <t>NA</t>
  </si>
  <si>
    <t>DGI5HNIACF</t>
  </si>
  <si>
    <t xml:space="preserve">English </t>
  </si>
  <si>
    <t>দ্রোহের আগুনে শানিত প্রাণ, ৩৬ জুলাইয়ের প্রতীকী রান।</t>
  </si>
  <si>
    <t>Cash will be given</t>
  </si>
  <si>
    <t xml:space="preserve">Law and Justice </t>
  </si>
  <si>
    <t>Sher e Bangla Hall</t>
  </si>
  <si>
    <t>***</t>
  </si>
  <si>
    <t>DGI1HNX765</t>
  </si>
  <si>
    <t xml:space="preserve">Mathematics </t>
  </si>
  <si>
    <t>Sher E Bangla AK fazlul haque hall</t>
  </si>
  <si>
    <t xml:space="preserve">I'm participating </t>
  </si>
  <si>
    <t>DEN1J12OZF</t>
  </si>
  <si>
    <t xml:space="preserve">MD. ARSHAD MIA </t>
  </si>
  <si>
    <t>BBH</t>
  </si>
  <si>
    <t>hmarshad2003@gmail.com</t>
  </si>
  <si>
    <t>01767856009</t>
  </si>
  <si>
    <t>No</t>
  </si>
  <si>
    <t>DGI8HNY5RM</t>
  </si>
  <si>
    <t>Department: Mathematics Batch: 55</t>
  </si>
  <si>
    <t>Maulana Bhashani Hall</t>
  </si>
  <si>
    <t>A great initiative to recognise July.</t>
  </si>
  <si>
    <t>DGI8HOELE8</t>
  </si>
  <si>
    <t>IRS-4th batch</t>
  </si>
  <si>
    <t>Birpratik Taramonbibi Hall</t>
  </si>
  <si>
    <t>N/A</t>
  </si>
  <si>
    <t>Cash</t>
  </si>
  <si>
    <t xml:space="preserve">Law &amp; Justice </t>
  </si>
  <si>
    <t>MH hall</t>
  </si>
  <si>
    <t>DGI8HOH4O2</t>
  </si>
  <si>
    <t>IIT / 51 batch</t>
  </si>
  <si>
    <t xml:space="preserve">For the first time </t>
  </si>
  <si>
    <t>DGI3HON6XP</t>
  </si>
  <si>
    <t xml:space="preserve">Government and Politics, 51 Batch </t>
  </si>
  <si>
    <t>Stat time 7 am hole valo hoto. Jersey quality valo hobe asa kori.</t>
  </si>
  <si>
    <t>DGI6HOMMO2</t>
  </si>
  <si>
    <t xml:space="preserve">Public Administration 53 </t>
  </si>
  <si>
    <t xml:space="preserve">Media coverage should be there </t>
  </si>
  <si>
    <t xml:space="preserve">Md.jul ikram siam </t>
  </si>
  <si>
    <t xml:space="preserve">History </t>
  </si>
  <si>
    <t>heladilaiphabanla922@gmail.com</t>
  </si>
  <si>
    <t>01771414454</t>
  </si>
  <si>
    <t>Yes</t>
  </si>
  <si>
    <t>DGI9HP8GAD</t>
  </si>
  <si>
    <t>Bangla - 55</t>
  </si>
  <si>
    <t xml:space="preserve">Moulana Bhasani hall </t>
  </si>
  <si>
    <t/>
  </si>
  <si>
    <t>Glad to participate.</t>
  </si>
  <si>
    <t>DGI7HP91VT</t>
  </si>
  <si>
    <t xml:space="preserve">Public Administration </t>
  </si>
  <si>
    <t xml:space="preserve">Shaheed Salam-Barkat Hall </t>
  </si>
  <si>
    <t>কত মিনিট সময় থাকবে শেষ করার জন্য?</t>
  </si>
  <si>
    <t>DGI0HPA3FU</t>
  </si>
  <si>
    <t>Bangla/55</t>
  </si>
  <si>
    <t>Excited to participate✌️</t>
  </si>
  <si>
    <t>DGI9HQ0ZGF</t>
  </si>
  <si>
    <t>Shaheed Rafiq Jabbar Hall</t>
  </si>
  <si>
    <t xml:space="preserve">Excited to participate </t>
  </si>
  <si>
    <t>DGI2HR8NM0</t>
  </si>
  <si>
    <t>CLC -54</t>
  </si>
  <si>
    <t xml:space="preserve">very excited </t>
  </si>
  <si>
    <t>Outside of JU</t>
  </si>
  <si>
    <t>SABYA SACHI ROY</t>
  </si>
  <si>
    <t>sabya750@gmail.com</t>
  </si>
  <si>
    <t>01719401140</t>
  </si>
  <si>
    <t>Outside of JU students</t>
  </si>
  <si>
    <t>DGI7HROZOF</t>
  </si>
  <si>
    <t>Institute of Comparative Literature and Culture - 54 th Batch</t>
  </si>
  <si>
    <t>DGI4HSO99W</t>
  </si>
  <si>
    <t xml:space="preserve">Begum Sufia Kamal hall </t>
  </si>
  <si>
    <t>1st time</t>
  </si>
  <si>
    <t>DGI0HTJUJG</t>
  </si>
  <si>
    <t>Pharmacy 54</t>
  </si>
  <si>
    <t>রানিং স্টুডেন্টসদের জন্য ফি টা এমনই কম রাখলে খুব ভালো হয়। দৌড় প্রতিযোগিতা সবসময়ই অসাধারণ।  কিরণ ভাই ও সংশ্লিষ্ট সকলের প্রতি অশেষ কৃতজ্ঞতা। এমন ইভেন্টস সামনে আরো আরো চাই। ধন্যবাদ।</t>
  </si>
  <si>
    <t>DGI3HSZARV</t>
  </si>
  <si>
    <t>Government and politics  51</t>
  </si>
  <si>
    <t xml:space="preserve">Shaheed Tajuddin Ahmad Hall </t>
  </si>
  <si>
    <t>DGI9HTR8XZ</t>
  </si>
  <si>
    <t xml:space="preserve">Geography and Environment </t>
  </si>
  <si>
    <t>Bishwakabi Rabindranath Tagore Hall</t>
  </si>
  <si>
    <t>Nice Initiative</t>
  </si>
  <si>
    <t>DGI5HTSHFT</t>
  </si>
  <si>
    <t>Geography and Environment 53 batch</t>
  </si>
  <si>
    <t>RTH</t>
  </si>
  <si>
    <t>Nice and attractive 👌</t>
  </si>
  <si>
    <t>DGI6HTVSRE</t>
  </si>
  <si>
    <t>Geography-53</t>
  </si>
  <si>
    <t>Great Initiative 👍</t>
  </si>
  <si>
    <t>DGI1HULW29</t>
  </si>
  <si>
    <t>Geography &amp; Environment - 53 Batch</t>
  </si>
  <si>
    <t xml:space="preserve">Bishwakabi Rabindranath Tagore Hall </t>
  </si>
  <si>
    <t>টি-শার্ট এর সাইজ ঠিকঠাক দিয়েন ভাই</t>
  </si>
  <si>
    <t>DGI9HUZQAB</t>
  </si>
  <si>
    <t>Urban and Regional Planning/55</t>
  </si>
  <si>
    <t>Bkash acc: 01522112643</t>
  </si>
  <si>
    <t>Public health 47 batch</t>
  </si>
  <si>
    <t xml:space="preserve">Nabab solimullah hall </t>
  </si>
  <si>
    <t>What?</t>
  </si>
  <si>
    <t>DGI2HVJRIA</t>
  </si>
  <si>
    <t>Nobab solimullah hall</t>
  </si>
  <si>
    <t>🙂</t>
  </si>
  <si>
    <t>DGI3HW5MDT</t>
  </si>
  <si>
    <t>Bangla</t>
  </si>
  <si>
    <t>Sher-e-Bangla A.K. Fazlul Haque Hall</t>
  </si>
  <si>
    <t xml:space="preserve">No comment </t>
  </si>
  <si>
    <t>DGI9HWANKH</t>
  </si>
  <si>
    <t>BANGLA - 55</t>
  </si>
  <si>
    <t>Sher-E-Babgla A.K Fazlul Huq hall</t>
  </si>
  <si>
    <t xml:space="preserve">Good initiative. Looking forward to participate in the run! </t>
  </si>
  <si>
    <t>DGI1HWDN3N</t>
  </si>
  <si>
    <t>Zoology/52</t>
  </si>
  <si>
    <t>Sher-E- Bangla AK Fazlul Haque  Hall</t>
  </si>
  <si>
    <t xml:space="preserve">Eagerly waiting for the running </t>
  </si>
  <si>
    <t>DGI8HWD0RY</t>
  </si>
  <si>
    <t xml:space="preserve">Jatiya Kabi Kazi Nazrul Islam </t>
  </si>
  <si>
    <t xml:space="preserve">ভালো উদ্যোগ </t>
  </si>
  <si>
    <t>DGI4HWICR8</t>
  </si>
  <si>
    <t>Economics 50th Batch</t>
  </si>
  <si>
    <t xml:space="preserve">Jatiya Kabi Kazi Nurul Islam Hall </t>
  </si>
  <si>
    <t>ইভেন্টের আগেরদিন একটা ম্যাসেজ দিয়েন</t>
  </si>
  <si>
    <t>DGI1HWKWB9</t>
  </si>
  <si>
    <t>CSE/53</t>
  </si>
  <si>
    <t>BirProtik Taramon Bibi Hall</t>
  </si>
  <si>
    <t>দ্রোহের আগুনে শানিত প্রাণ, ৩৬ জুলাইয়ের প্রতীকী রান</t>
  </si>
  <si>
    <t>DGI5HWPJYD</t>
  </si>
  <si>
    <t>Archaeology 52</t>
  </si>
  <si>
    <t>Jatiya Kobi Kazi Nazrul Islam Hall</t>
  </si>
  <si>
    <t>Haidretion a valo babosta raikhen</t>
  </si>
  <si>
    <t>DGI9HX3DEJ</t>
  </si>
  <si>
    <t xml:space="preserve">I will be happy to be a part of this run. </t>
  </si>
  <si>
    <t>DGI5HXBCSJ</t>
  </si>
  <si>
    <t>CSE -53</t>
  </si>
  <si>
    <t xml:space="preserve">July 24 Jagoroni hall </t>
  </si>
  <si>
    <t>...</t>
  </si>
  <si>
    <t>DGI2HXMAEG</t>
  </si>
  <si>
    <t>IIT</t>
  </si>
  <si>
    <t>Sher-E-Bangla AK Fazlul Haque Hall</t>
  </si>
  <si>
    <t>AdibIIT53</t>
  </si>
  <si>
    <t>DGI0HXQG9E</t>
  </si>
  <si>
    <t>CSE - 53</t>
  </si>
  <si>
    <t xml:space="preserve">Bir protik taramon bibi hall </t>
  </si>
  <si>
    <t xml:space="preserve">Thanks for organizing this kind of event ... </t>
  </si>
  <si>
    <t>DGI2HXRYB0</t>
  </si>
  <si>
    <t>অর্থনীতি/৫১তম ব্যাচ</t>
  </si>
  <si>
    <t>শহীদ তাজউদ্দীন আহমদ হল</t>
  </si>
  <si>
    <t>good</t>
  </si>
  <si>
    <t>DGI4HXW7OQ</t>
  </si>
  <si>
    <t xml:space="preserve">Bir Prateek Taramon Bibi Hall </t>
  </si>
  <si>
    <t>Thanks for organizing.....</t>
  </si>
  <si>
    <t>DGI5HY0JPP</t>
  </si>
  <si>
    <t>Bir Pratik Taramon Bibi hall</t>
  </si>
  <si>
    <t>Thanks you for organizing</t>
  </si>
  <si>
    <t>DGI2HYOHX2</t>
  </si>
  <si>
    <t>Department of law and justice, 55 batch</t>
  </si>
  <si>
    <t xml:space="preserve">Mir mossharrof hossen hall </t>
  </si>
  <si>
    <t>Thanks for arranging this event</t>
  </si>
  <si>
    <t>DGI7HYUEJ3</t>
  </si>
  <si>
    <t>ZOOLOGY 48</t>
  </si>
  <si>
    <t>MOWLANA BHASANI HALL</t>
  </si>
  <si>
    <t>Wish you good luck.</t>
  </si>
  <si>
    <t>DGI7HYLUVJ</t>
  </si>
  <si>
    <t>Government and Politics (50th Batch)</t>
  </si>
  <si>
    <t>আগের অভিজ্ঞতার আলোকে বলতে পারি ম্যানেজমেন্ট ভালো ছিলো না। আর বৃষ্টির মধ্যে টার্জান পয়েন্টের রাস্তার অবস্থা খুবই খারাপ ছিলো। এছাড়াও, লজিস্টিক যা যা দেবার কথা ছিলো সেগুলো কথানুযায়ী দেওয়া হয়নি। তাই এইসব বিষয়ে নজর দিবেন আশা করি।</t>
  </si>
  <si>
    <t>DGI1HZD4W5</t>
  </si>
  <si>
    <t>Environmental Sciences</t>
  </si>
  <si>
    <t>Mowlana Bhashani Hall</t>
  </si>
  <si>
    <t>DGI2HZA85M</t>
  </si>
  <si>
    <t>Geography &amp; Environment 49 batch</t>
  </si>
  <si>
    <t xml:space="preserve">Begum Khaleda Zia Hall </t>
  </si>
  <si>
    <t xml:space="preserve">Good Initiative </t>
  </si>
  <si>
    <t>DGI4HZF3IG</t>
  </si>
  <si>
    <t>Archaeology -52</t>
  </si>
  <si>
    <t xml:space="preserve">Bir protik Taramon Bibi hall </t>
  </si>
  <si>
    <t xml:space="preserve"> so excited to participate in my first-ever marathon!</t>
  </si>
  <si>
    <t>DGI9HZI5WR</t>
  </si>
  <si>
    <t>CSE 53</t>
  </si>
  <si>
    <t>Moulana Bhasani Hall</t>
  </si>
  <si>
    <t>....</t>
  </si>
  <si>
    <t>DGI1HZILFP</t>
  </si>
  <si>
    <t xml:space="preserve">Finance and Banking, 49th Batch </t>
  </si>
  <si>
    <t>Good intiative.</t>
  </si>
  <si>
    <t>DGI3HZKQO1</t>
  </si>
  <si>
    <t>Environmental Sciences;53 Batch</t>
  </si>
  <si>
    <t xml:space="preserve">Mowlana Bhashani </t>
  </si>
  <si>
    <t>DGI5HZOF63</t>
  </si>
  <si>
    <t>SDS -51</t>
  </si>
  <si>
    <t>Stah</t>
  </si>
  <si>
    <t xml:space="preserve">Finishing time mentioned korun. </t>
  </si>
  <si>
    <t>DGI1HZUI33</t>
  </si>
  <si>
    <t>CSE-50</t>
  </si>
  <si>
    <t>Rokeya Hall</t>
  </si>
  <si>
    <t>DGI4I0BV1I</t>
  </si>
  <si>
    <t>~</t>
  </si>
  <si>
    <t>DGI5I0MQ4P  (ট্রানঞ্জেকশন আইডি)</t>
  </si>
  <si>
    <t xml:space="preserve">Institute of comparative literature and culture (50) </t>
  </si>
  <si>
    <t xml:space="preserve">Nabab Salimullah hall </t>
  </si>
  <si>
    <t xml:space="preserve">সফল হোক </t>
  </si>
  <si>
    <t>DGI1I1A68N</t>
  </si>
  <si>
    <t xml:space="preserve">Jatiya Kabi Kazi Nazrul Islam hall </t>
  </si>
  <si>
    <t>-</t>
  </si>
  <si>
    <t>DGI1I1BJN9</t>
  </si>
  <si>
    <t xml:space="preserve">Dept of Zoology , 48th batch </t>
  </si>
  <si>
    <t xml:space="preserve">Nawab Faizunnesa Hall </t>
  </si>
  <si>
    <t xml:space="preserve">Thank you </t>
  </si>
  <si>
    <t>DGI0I1DQR0</t>
  </si>
  <si>
    <t>Public Health/46</t>
  </si>
  <si>
    <t>DGI6I1EWWE</t>
  </si>
  <si>
    <t>Physics 52</t>
  </si>
  <si>
    <t xml:space="preserve">kazi nazrul islam hall </t>
  </si>
  <si>
    <t>Best expectation from JUCSU</t>
  </si>
  <si>
    <t>DGI9I1N2N7</t>
  </si>
  <si>
    <t xml:space="preserve">Department of Microbiology / 55 Batch </t>
  </si>
  <si>
    <t xml:space="preserve">Sher-e-bangla A K fazlul Huq </t>
  </si>
  <si>
    <t>DGI4I1VQEO</t>
  </si>
  <si>
    <t>PHYSICS 52</t>
  </si>
  <si>
    <t>I hope the management will do well.</t>
  </si>
  <si>
    <t>DGI2I2TRDI</t>
  </si>
  <si>
    <t>CSE-53</t>
  </si>
  <si>
    <t>Taramon bibi hall</t>
  </si>
  <si>
    <t xml:space="preserve">It's a great initiative </t>
  </si>
  <si>
    <t>DGI3I3ODJV</t>
  </si>
  <si>
    <t xml:space="preserve"> Mowlana Bhashani Hall</t>
  </si>
  <si>
    <t>আমি ৫ কিমি দৌড়ে অংশগ্রহণ করতে আগ্রহী।</t>
  </si>
  <si>
    <t>Mathematics/49</t>
  </si>
  <si>
    <t>DGI4I4BJQG</t>
  </si>
  <si>
    <t xml:space="preserve">Sher e Bangla AK Fazlul Haque hall </t>
  </si>
  <si>
    <t>ভালো কাজ চালিয়ে যান।</t>
  </si>
  <si>
    <t>DGI4I4RIW0</t>
  </si>
  <si>
    <t xml:space="preserve">Shaheed Felani Khatun Hall </t>
  </si>
  <si>
    <t>DGI1I4NN8Z</t>
  </si>
  <si>
    <t>Institute of Comparative Literature and culture-54 batch</t>
  </si>
  <si>
    <t xml:space="preserve">ধন্যবাদ </t>
  </si>
  <si>
    <t>DGI7I4V99V</t>
  </si>
  <si>
    <t xml:space="preserve">Anthropology ;52 batch </t>
  </si>
  <si>
    <t xml:space="preserve">Shahid Felani Khatun </t>
  </si>
  <si>
    <t>DGI4I57284</t>
  </si>
  <si>
    <t>Bangla 48</t>
  </si>
  <si>
    <t xml:space="preserve">Moulana Bhasani Hall </t>
  </si>
  <si>
    <t xml:space="preserve">No comments </t>
  </si>
  <si>
    <t>DGI9I5KE6L</t>
  </si>
  <si>
    <t>CSE</t>
  </si>
  <si>
    <t>none</t>
  </si>
  <si>
    <t>DGI9I5PXZ3</t>
  </si>
  <si>
    <t>Heartfelt thanks to the organizing team for taking such a wonderful initiative.</t>
  </si>
  <si>
    <t>DGI9I5W4L9</t>
  </si>
  <si>
    <t xml:space="preserve">Bangla 51 </t>
  </si>
  <si>
    <t xml:space="preserve">Jatiya kobi kazi Nazmul Islam hall </t>
  </si>
  <si>
    <t xml:space="preserve">Great idea </t>
  </si>
  <si>
    <t>DGJ9I6NHC3</t>
  </si>
  <si>
    <t xml:space="preserve">Good initiative  for students </t>
  </si>
  <si>
    <t>DGJ8I6P6DU</t>
  </si>
  <si>
    <t>Best Wishes</t>
  </si>
  <si>
    <t>DGJ7I6SMZN</t>
  </si>
  <si>
    <t>Env-50</t>
  </si>
  <si>
    <t xml:space="preserve">Well wishes </t>
  </si>
  <si>
    <t>DGJ2I70C9G</t>
  </si>
  <si>
    <t>Biochemistry and Molecular Biology 53</t>
  </si>
  <si>
    <t xml:space="preserve">Bir Pratik Taramon Bibi Hall </t>
  </si>
  <si>
    <t>DGJ6I6YR2E</t>
  </si>
  <si>
    <t>BMB 53</t>
  </si>
  <si>
    <t xml:space="preserve">Bir pratik taramon bibi hall </t>
  </si>
  <si>
    <t>DGJ4I7C2QO</t>
  </si>
  <si>
    <t>Economics 50</t>
  </si>
  <si>
    <t>Good luck</t>
  </si>
  <si>
    <t>DGJ0I81I1E</t>
  </si>
  <si>
    <t>Bangla 55th batch</t>
  </si>
  <si>
    <t>I’m very excited to participate in this event</t>
  </si>
  <si>
    <t>DGJ3I88239</t>
  </si>
  <si>
    <t>Pritilata</t>
  </si>
  <si>
    <t>DGJ1I8D417</t>
  </si>
  <si>
    <t xml:space="preserve">Shaheed Tajuddin Ahmed Hall </t>
  </si>
  <si>
    <t>Start on time.</t>
  </si>
  <si>
    <t>DGJ1IBRI75</t>
  </si>
  <si>
    <t>Botany-55</t>
  </si>
  <si>
    <t>Good Approach 🙌</t>
  </si>
  <si>
    <t>DGJ7IHWTFV</t>
  </si>
  <si>
    <t>BGE-47</t>
  </si>
  <si>
    <t>Al-Beruni</t>
  </si>
  <si>
    <t>DGJ0IO83FW</t>
  </si>
  <si>
    <t>URP 50</t>
  </si>
  <si>
    <t>Vai valo ekta medal doyen</t>
  </si>
  <si>
    <t>DGJ4IOC4II</t>
  </si>
  <si>
    <t xml:space="preserve">Urban and Regional Planning </t>
  </si>
  <si>
    <t>Good Initiative 👍</t>
  </si>
  <si>
    <t>DGJ3IPN7GT</t>
  </si>
  <si>
    <t xml:space="preserve">Biotechnology and Genetic Engineering </t>
  </si>
  <si>
    <t>DGJ7IPPFNV</t>
  </si>
  <si>
    <t>No comments</t>
  </si>
  <si>
    <t>DGJ1IQ3UMH</t>
  </si>
  <si>
    <t xml:space="preserve">Bir Pratik Taramon bibi hall </t>
  </si>
  <si>
    <t xml:space="preserve">I'm very excited </t>
  </si>
  <si>
    <t>DGJ0IQ5POM</t>
  </si>
  <si>
    <t>Chemistry 49</t>
  </si>
  <si>
    <t>DGJ3IQ6RSX</t>
  </si>
  <si>
    <t>Biotechnology and genetic engineering/51</t>
  </si>
  <si>
    <t>Bir Protik Taramon Bibi Hall</t>
  </si>
  <si>
    <t>Thank you for organizing this type of event</t>
  </si>
  <si>
    <t>DGJ1IQDJ3H</t>
  </si>
  <si>
    <t xml:space="preserve">Shaheed Salaam Barqat Hall </t>
  </si>
  <si>
    <t>Best wishes</t>
  </si>
  <si>
    <t>DGJ7IQM3BH</t>
  </si>
  <si>
    <t>DGJ0IQLMMQ</t>
  </si>
  <si>
    <t xml:space="preserve">Shaheed Salam barkat hall </t>
  </si>
  <si>
    <t>DGJ2IQSI1Q</t>
  </si>
  <si>
    <t>Faziltunnessa Hall</t>
  </si>
  <si>
    <t>DGJ6IU9M16</t>
  </si>
  <si>
    <t>☺️</t>
  </si>
  <si>
    <t>DGJ9IW20CF</t>
  </si>
  <si>
    <t xml:space="preserve">Begum khaleda Zia hall </t>
  </si>
  <si>
    <t xml:space="preserve">Thanks for arranging marathon </t>
  </si>
  <si>
    <t>DGJ6J0JCLA</t>
  </si>
  <si>
    <t>Cse/55</t>
  </si>
  <si>
    <t xml:space="preserve">Fazilatunnesa </t>
  </si>
  <si>
    <t xml:space="preserve">     </t>
  </si>
  <si>
    <t>DGJ0J15IOI</t>
  </si>
  <si>
    <t>AIS</t>
  </si>
  <si>
    <t>..</t>
  </si>
  <si>
    <t>DGJ2J1UWXM</t>
  </si>
  <si>
    <t>SSB</t>
  </si>
  <si>
    <t>Done</t>
  </si>
  <si>
    <t>DGJ6J1TLYM</t>
  </si>
  <si>
    <t>CSE/50</t>
  </si>
  <si>
    <t>এটা একটা ভালো উদ্যাোগ</t>
  </si>
  <si>
    <t>DGJ3J2B7NL</t>
  </si>
  <si>
    <t>Shere Bangla A K Fazlul Haque Hall</t>
  </si>
  <si>
    <t>DGJ3J2F2WN</t>
  </si>
  <si>
    <t xml:space="preserve">Mole Akter </t>
  </si>
  <si>
    <t xml:space="preserve">Marketing </t>
  </si>
  <si>
    <t>moleaktar64@gmail.com</t>
  </si>
  <si>
    <t>01939865045</t>
  </si>
  <si>
    <t>DGJ6J3YLXQ</t>
  </si>
  <si>
    <t xml:space="preserve">Chemistry 51 </t>
  </si>
  <si>
    <t>DGJ4J44LGU</t>
  </si>
  <si>
    <t>Chemistry 51</t>
  </si>
  <si>
    <t xml:space="preserve">Rokeya hall </t>
  </si>
  <si>
    <t xml:space="preserve">Best of luck </t>
  </si>
  <si>
    <t>DGJ3J54JYR</t>
  </si>
  <si>
    <t>CSE(50)</t>
  </si>
  <si>
    <t>Birpratik Taramon Bibi Hall</t>
  </si>
  <si>
    <t>এটি একটি ভালো উদ্যোগ।</t>
  </si>
  <si>
    <t>DGJ6J5JK62</t>
  </si>
  <si>
    <t xml:space="preserve">Bangla </t>
  </si>
  <si>
    <t>Excited!</t>
  </si>
  <si>
    <t>DGJ5J5MT05</t>
  </si>
  <si>
    <t>DGJ2J5RBR8</t>
  </si>
  <si>
    <t xml:space="preserve">Government and politics </t>
  </si>
  <si>
    <t xml:space="preserve">Moulana Bhashani Hall </t>
  </si>
  <si>
    <t>done!</t>
  </si>
  <si>
    <t>DGJ1J97N17</t>
  </si>
  <si>
    <t>Public Health, 47</t>
  </si>
  <si>
    <t>BKZ</t>
  </si>
  <si>
    <t xml:space="preserve">Done </t>
  </si>
  <si>
    <t>DGJ8J9B5YK</t>
  </si>
  <si>
    <t>Botany(50)</t>
  </si>
  <si>
    <t>ভালো উদ্যোগ</t>
  </si>
  <si>
    <t>DGJ5J9LNSP</t>
  </si>
  <si>
    <t>IIT-49</t>
  </si>
  <si>
    <t xml:space="preserve">NF </t>
  </si>
  <si>
    <t>DGJ6JA0RPK</t>
  </si>
  <si>
    <t xml:space="preserve">Pritilata Hall </t>
  </si>
  <si>
    <t>No comment</t>
  </si>
  <si>
    <t>DGJ1JAOWKL</t>
  </si>
  <si>
    <t xml:space="preserve">Shahid tajuddin Ahmed hall </t>
  </si>
  <si>
    <t>Kiron Vai shera</t>
  </si>
  <si>
    <t>DGJ1JC5IHZ</t>
  </si>
  <si>
    <t>IIT 48</t>
  </si>
  <si>
    <t>Mir Mosharraf Hall</t>
  </si>
  <si>
    <t>Bus service would be great</t>
  </si>
  <si>
    <t>01933917606XL</t>
  </si>
  <si>
    <t>Yeah</t>
  </si>
  <si>
    <t>DGJ9JCLPJ3</t>
  </si>
  <si>
    <t>IIT 51</t>
  </si>
  <si>
    <t xml:space="preserve">Jatiya kabi kazi nazrul islam hall </t>
  </si>
  <si>
    <t>DGK9JD4V07</t>
  </si>
  <si>
    <t xml:space="preserve">Computer Science and Engineering </t>
  </si>
  <si>
    <t xml:space="preserve">Nice initiative </t>
  </si>
  <si>
    <t>DGJ4JCJNTM</t>
  </si>
  <si>
    <t>Microbiology, 51</t>
  </si>
  <si>
    <t>See you on 5 august</t>
  </si>
  <si>
    <t>DGK6JDDHO0</t>
  </si>
  <si>
    <t>Microbiology -51</t>
  </si>
  <si>
    <t>None.</t>
  </si>
  <si>
    <t>DGK1JEJGBH</t>
  </si>
  <si>
    <t>IIT 49</t>
  </si>
  <si>
    <t>July 24 Jagoroni Hall</t>
  </si>
  <si>
    <t>I hope it will be a successful event.</t>
  </si>
  <si>
    <t>DGK5JFAH2R</t>
  </si>
  <si>
    <t>Department of Botany , 53 Batch</t>
  </si>
  <si>
    <t>Sher E Bangla Hall</t>
  </si>
  <si>
    <t>সুন্দর উদ্যোগ</t>
  </si>
  <si>
    <t>DGK4JFQ43M</t>
  </si>
  <si>
    <t>Pritilata hall</t>
  </si>
  <si>
    <t>Excited</t>
  </si>
  <si>
    <t>DGK8JFPY50</t>
  </si>
  <si>
    <t>Accounting and Information Systems 48th batch</t>
  </si>
  <si>
    <t xml:space="preserve">Pritilata hall </t>
  </si>
  <si>
    <t xml:space="preserve">excited </t>
  </si>
  <si>
    <t>DGK7JGGZ7T</t>
  </si>
  <si>
    <t>F&amp;B 49</t>
  </si>
  <si>
    <t xml:space="preserve">দয়া করে সময়মতো রান শুরু করার চেষ্টা করবেন </t>
  </si>
  <si>
    <t>DGK9JGIGLJ</t>
  </si>
  <si>
    <t>Economics - 54</t>
  </si>
  <si>
    <t>July 24 Jagarani Hall</t>
  </si>
  <si>
    <t>DGK7JH2XOR</t>
  </si>
  <si>
    <t>Moulana Bhashani Hall</t>
  </si>
  <si>
    <t>DGK7JN57OT</t>
  </si>
  <si>
    <t>Geological Sciences, 52</t>
  </si>
  <si>
    <t>Nagad rakha dorkar silo.</t>
  </si>
  <si>
    <t xml:space="preserve">Join </t>
  </si>
  <si>
    <t>DGK1JSP98H</t>
  </si>
  <si>
    <t>URP-50</t>
  </si>
  <si>
    <t>SRJ</t>
  </si>
  <si>
    <t>No Comment</t>
  </si>
  <si>
    <t>DGK1JUD55T</t>
  </si>
  <si>
    <t>Sds 53</t>
  </si>
  <si>
    <t xml:space="preserve">Mir mosharraf Hossain hall </t>
  </si>
  <si>
    <t xml:space="preserve">Love this type of event </t>
  </si>
  <si>
    <t>DGK5JUDCW9</t>
  </si>
  <si>
    <t xml:space="preserve">Statistics and data science </t>
  </si>
  <si>
    <t xml:space="preserve">Plz,,make the medel in the best quality </t>
  </si>
  <si>
    <t>DGK6JUTWQU</t>
  </si>
  <si>
    <t>URP, 52</t>
  </si>
  <si>
    <t>Jahanara Imam Hall</t>
  </si>
  <si>
    <t>Keep enough hydration support.</t>
  </si>
  <si>
    <t>DGK5JVWD0Z</t>
  </si>
  <si>
    <t>Join</t>
  </si>
  <si>
    <t>DGK1JZPP2Z</t>
  </si>
  <si>
    <t>Public Administration, 54 batch</t>
  </si>
  <si>
    <t>July 24 jagoroni</t>
  </si>
  <si>
    <t>এই ধরনের রান এই প্রথম বার করতে যাচ্ছি। খুবই এক্সাটেড!</t>
  </si>
  <si>
    <t>DGK7K0SQAD</t>
  </si>
  <si>
    <t>Bangla - 52</t>
  </si>
  <si>
    <t xml:space="preserve">Excited and best wishes for the success of event. </t>
  </si>
  <si>
    <t>DGK0K6P4WI</t>
  </si>
  <si>
    <t>MMH</t>
  </si>
  <si>
    <t>DGK3K748AT</t>
  </si>
  <si>
    <t>Department of accounting and information systems. 51 batch</t>
  </si>
  <si>
    <t>Rokeya hall</t>
  </si>
  <si>
    <t>Tshirt size xl 44 29</t>
  </si>
  <si>
    <t>DGK7K7I5LV</t>
  </si>
  <si>
    <t xml:space="preserve">AIS 51 </t>
  </si>
  <si>
    <t>DGK8K7TPO8</t>
  </si>
  <si>
    <t>Department of Accounting &amp; Information Systems (51 batch)</t>
  </si>
  <si>
    <t>Pritilata Hall</t>
  </si>
  <si>
    <t>DGK0KB1GVG</t>
  </si>
  <si>
    <t>Sher e bangla hall</t>
  </si>
  <si>
    <t>DGK4BEOEQ</t>
  </si>
  <si>
    <t>Math/19th</t>
  </si>
  <si>
    <t>5K</t>
  </si>
  <si>
    <t>DGK6KBNING</t>
  </si>
  <si>
    <t>Good luck 👍</t>
  </si>
  <si>
    <t>DGK0KCFR24</t>
  </si>
  <si>
    <t>Management Studies 53</t>
  </si>
  <si>
    <t>DGK0KCJF6I</t>
  </si>
  <si>
    <t xml:space="preserve">Economics </t>
  </si>
  <si>
    <t>Please medal jeno shundor hoy</t>
  </si>
  <si>
    <t>DGK7KD6FSF</t>
  </si>
  <si>
    <t>Geological Sciences-52</t>
  </si>
  <si>
    <t>Shaheed Rafiq Jabbar hall</t>
  </si>
  <si>
    <t>DGL8KFR9UC</t>
  </si>
  <si>
    <t xml:space="preserve">Sher e bangla ak fazlul haq </t>
  </si>
  <si>
    <t>I am interested to perticipate in this run</t>
  </si>
  <si>
    <t>Mostakim Ahmed Ridul</t>
  </si>
  <si>
    <t>MH</t>
  </si>
  <si>
    <t>mohammadmostakim13@gmail.com</t>
  </si>
  <si>
    <t>01703222373</t>
  </si>
  <si>
    <t>DGL5KGPWOD</t>
  </si>
  <si>
    <t>Mathematics 55th batch</t>
  </si>
  <si>
    <t>Sher E Bangla A K Fazlul Hoque Hall</t>
  </si>
  <si>
    <t>DGL4KGZU62</t>
  </si>
  <si>
    <t>physics/52</t>
  </si>
  <si>
    <t>Jatio kabi kazi nazrul Islam Hall</t>
  </si>
  <si>
    <t>No comments😁</t>
  </si>
  <si>
    <t>DGL6KH5OLY</t>
  </si>
  <si>
    <t xml:space="preserve">Zoology </t>
  </si>
  <si>
    <t xml:space="preserve">এত টাকা কেনো ৫ কিমি এর জন্য , যেহেতু প্রসাশন সহযোগিতা করছে তাহলে এত বেশি কেনো। ২০২৫ সালে যখন জাকসু ছিলো না তখন জুলাই ম্যারাথন করছি ২৫০ টাকা দিয়ে, জাকসু  হওয়ার পর এখন ৩৫০ টাকা। একটু অস্বাভাবিক মনে হচ্ছে।  </t>
  </si>
  <si>
    <t xml:space="preserve">JUCSU RUN </t>
  </si>
  <si>
    <t xml:space="preserve">JKKNIH </t>
  </si>
  <si>
    <t>Great initiative</t>
  </si>
  <si>
    <t>DGL0KHQAMA</t>
  </si>
  <si>
    <t>Archaeology/55</t>
  </si>
  <si>
    <t>DGL9KJ8ZWZ</t>
  </si>
  <si>
    <t>Bangla 55</t>
  </si>
  <si>
    <t xml:space="preserve">Sahid Taj Uddin Ahmed Hall </t>
  </si>
  <si>
    <t xml:space="preserve">Dhonnobadh </t>
  </si>
  <si>
    <t>DGL0KM3PFK</t>
  </si>
  <si>
    <t>IIT/51</t>
  </si>
  <si>
    <t>Shahid Tajuddin Ahmed Hall</t>
  </si>
  <si>
    <t>Best wishes for a successful event vai</t>
  </si>
  <si>
    <t>DGL9KMJ29R</t>
  </si>
  <si>
    <t>CSE/42</t>
  </si>
  <si>
    <t>No cmnts</t>
  </si>
  <si>
    <t>DGL7KR08MZ</t>
  </si>
  <si>
    <t>Finance and Banking, 49 batch</t>
  </si>
  <si>
    <t xml:space="preserve">Al-Beruni </t>
  </si>
  <si>
    <t>ধন্যবাদ কিরন ভাইকে এত সুন্দর উদ্যোগ নেওয়ার জন্য</t>
  </si>
  <si>
    <t>DGL7KR2WNN</t>
  </si>
  <si>
    <t xml:space="preserve">Public health and informatics </t>
  </si>
  <si>
    <t>জার্সি সুন্দর করিয়েন। কলার আর হাতায় এক্সট্রা থাকে সুইং করা, সেটা দিয়েন।</t>
  </si>
  <si>
    <t>DGL1KRTKVT</t>
  </si>
  <si>
    <t>Zoology-52</t>
  </si>
  <si>
    <t>I am excited to be a part of this event.</t>
  </si>
  <si>
    <t>DGL1KTMSVL</t>
  </si>
  <si>
    <t>Finance &amp; Banking</t>
  </si>
  <si>
    <t>Rafiq Jabbar Hall</t>
  </si>
  <si>
    <t xml:space="preserve"> 36 July </t>
  </si>
  <si>
    <t>DGL0KTTR96</t>
  </si>
  <si>
    <t xml:space="preserve">Mowlana Bhasani Hall </t>
  </si>
  <si>
    <t xml:space="preserve">Exited </t>
  </si>
  <si>
    <t>DGL5KWL5LL</t>
  </si>
  <si>
    <t xml:space="preserve">Computer Science  and Engineering </t>
  </si>
  <si>
    <t>DGL8KWT5I4</t>
  </si>
  <si>
    <t>Public Administration - 53</t>
  </si>
  <si>
    <t>Good initiative</t>
  </si>
  <si>
    <t>DGL8KXLA6S</t>
  </si>
  <si>
    <t xml:space="preserve">Best initiative </t>
  </si>
  <si>
    <t>Jucsu Run</t>
  </si>
  <si>
    <t>Philosophy 51</t>
  </si>
  <si>
    <t>DGL4L6EUHQ</t>
  </si>
  <si>
    <t>Botany/53</t>
  </si>
  <si>
    <t>Sher e Bangla A K Fazlul Haque</t>
  </si>
  <si>
    <t>চেষ্ট ৪২ এর সাথে লং ২৯ থাকে নরমালি। এটা হলে ভালো হতো।</t>
  </si>
  <si>
    <t>DGL0L8R2NY</t>
  </si>
  <si>
    <t>Public Administration/53</t>
  </si>
  <si>
    <t>DGL4LA6LZQ</t>
  </si>
  <si>
    <t>Physics-55</t>
  </si>
  <si>
    <t>DGL6LAXMKU</t>
  </si>
  <si>
    <t>Archaeology-55</t>
  </si>
  <si>
    <t>Mawlana Bhasani Hall</t>
  </si>
  <si>
    <t>DGL8LFHKDW</t>
  </si>
  <si>
    <t>Nawab Faizunnesa Hall</t>
  </si>
  <si>
    <t>45 Batch</t>
  </si>
  <si>
    <t xml:space="preserve">DGL2LFX6YI  </t>
  </si>
  <si>
    <t>Computer Science and Engineering (53 batch)</t>
  </si>
  <si>
    <t xml:space="preserve">Bir Protik Taramon bibi hall </t>
  </si>
  <si>
    <t>Wish me luckk</t>
  </si>
  <si>
    <t>Management studies 52 batch</t>
  </si>
  <si>
    <t>Sohid Felani khatun hall</t>
  </si>
  <si>
    <t>DGM0LKC142</t>
  </si>
  <si>
    <t>Faculty of Business Studies</t>
  </si>
  <si>
    <t>Begum Sufia Kamal Hall</t>
  </si>
  <si>
    <t>I am excited about this marathon.</t>
  </si>
  <si>
    <t>DGM5LKHMZZ</t>
  </si>
  <si>
    <t>Shaheed Felani Khatun Hall</t>
  </si>
  <si>
    <t xml:space="preserve">Nice </t>
  </si>
  <si>
    <t>DGM5LKSSUD</t>
  </si>
  <si>
    <t xml:space="preserve">ভালো </t>
  </si>
  <si>
    <t>DGM4LKRG0U</t>
  </si>
  <si>
    <t>Government and Politics / 49</t>
  </si>
  <si>
    <t>please check if you get the money or not</t>
  </si>
  <si>
    <t>DGM2LKZVV4</t>
  </si>
  <si>
    <t xml:space="preserve">IIT-51 </t>
  </si>
  <si>
    <t>Excited to be a part of this marathon. Thanks for organizing this event!</t>
  </si>
  <si>
    <t>DGM0LL875I</t>
  </si>
  <si>
    <t xml:space="preserve">Journalism and media studies </t>
  </si>
  <si>
    <t xml:space="preserve">Shahid Tajuddin Ahmed hall </t>
  </si>
  <si>
    <t>মেডেল আর জার্সিটা ভালো চাই</t>
  </si>
  <si>
    <t>DGM3LLDE1D</t>
  </si>
  <si>
    <t>shaheed Tajuddin Ahmed Hall</t>
  </si>
  <si>
    <t>DGM7LM48LV</t>
  </si>
  <si>
    <t>CSE/47</t>
  </si>
  <si>
    <t>Shaheed Rafiq-Jabbar Hall</t>
  </si>
  <si>
    <t>Hoping for a nice arrangements and for some great moments. In sha Allah.</t>
  </si>
  <si>
    <t>DGM5LT5ME9</t>
  </si>
  <si>
    <t>Mathematics 52</t>
  </si>
  <si>
    <t xml:space="preserve">Mir Moshareaf Hossain Hall </t>
  </si>
  <si>
    <t xml:space="preserve">I am exited for this and I want more programs like this. </t>
  </si>
  <si>
    <t>DGM9LUVQ47</t>
  </si>
  <si>
    <t xml:space="preserve">100/100 initiatives </t>
  </si>
  <si>
    <t>DGM8LWP3IY</t>
  </si>
  <si>
    <t>Law and Justice 54</t>
  </si>
  <si>
    <t xml:space="preserve">Preetilata </t>
  </si>
  <si>
    <t>Thankyou</t>
  </si>
  <si>
    <t>DGM4LWMPMC</t>
  </si>
  <si>
    <t>Accounting and Information Systems (Batch 51)</t>
  </si>
  <si>
    <t>I am very interested in this event.</t>
  </si>
  <si>
    <t>DGM9LXOFU1</t>
  </si>
  <si>
    <t>So Excited 😊</t>
  </si>
  <si>
    <t>DGM6M03O34</t>
  </si>
  <si>
    <t>Accounting &amp; Information Systems (51 batch)</t>
  </si>
  <si>
    <t>DGM1M169GR</t>
  </si>
  <si>
    <t>Chemistry</t>
  </si>
  <si>
    <t>Very good idea</t>
  </si>
  <si>
    <t>DGM1M45FRN</t>
  </si>
  <si>
    <t>Interested</t>
  </si>
  <si>
    <t>DGM9M6NRRT</t>
  </si>
  <si>
    <t>Pharmacy 52</t>
  </si>
  <si>
    <t xml:space="preserve">Birprotik Taramon Bibi Hall </t>
  </si>
  <si>
    <t>DGM3M80TPT</t>
  </si>
  <si>
    <t>DGM3M8ANX7</t>
  </si>
  <si>
    <t>Law and justice 48</t>
  </si>
  <si>
    <t xml:space="preserve">Mawlana bhashani </t>
  </si>
  <si>
    <t>DGM9MHBXZL</t>
  </si>
  <si>
    <t xml:space="preserve">Great Initiative </t>
  </si>
  <si>
    <t>DGM1MJSKO3</t>
  </si>
  <si>
    <t>Government and Poltics, 50</t>
  </si>
  <si>
    <t>DGM7MKO6A5</t>
  </si>
  <si>
    <t>Excited for the merathon!!!</t>
  </si>
  <si>
    <t>DGM1MN0M0J</t>
  </si>
  <si>
    <t>Pharmacy 49</t>
  </si>
  <si>
    <t xml:space="preserve">Jatiya kabi kazi Nazrul Islam </t>
  </si>
  <si>
    <t>DGM1MNMDU1</t>
  </si>
  <si>
    <t>Biochemistry and Molecular Biology, 53 batch</t>
  </si>
  <si>
    <t xml:space="preserve">Mowlana Bashani Hall </t>
  </si>
  <si>
    <t xml:space="preserve">Nothing </t>
  </si>
  <si>
    <t>DGN5MP4SO7</t>
  </si>
  <si>
    <t>Geography &amp; Environment</t>
  </si>
  <si>
    <t>Please confirm the registration.</t>
  </si>
  <si>
    <t xml:space="preserve"> DGN6MQE950</t>
  </si>
  <si>
    <t>Geological Science,  Batch - 54</t>
  </si>
  <si>
    <t>Adnan - 54</t>
  </si>
  <si>
    <t>Kiron bhai</t>
  </si>
  <si>
    <t>International relations 53</t>
  </si>
  <si>
    <t xml:space="preserve">Best of luck jucsu Sports </t>
  </si>
  <si>
    <t>DGN5MR5DE9</t>
  </si>
  <si>
    <t>IBA 50</t>
  </si>
  <si>
    <t>Best of luck!</t>
  </si>
  <si>
    <t>DGN6MR5WFK</t>
  </si>
  <si>
    <t>Jatiyo Kabi Kazi Nazrul Islam Hall</t>
  </si>
  <si>
    <t>DGN5MU71DR</t>
  </si>
  <si>
    <t>DGN8MV61IK</t>
  </si>
  <si>
    <t>Mathematics -55</t>
  </si>
  <si>
    <t xml:space="preserve">Jatiya kabi kaji najrul islam hall </t>
  </si>
  <si>
    <t>T shirt-XL.</t>
  </si>
  <si>
    <t>DGN2MZKGR2</t>
  </si>
  <si>
    <t>None</t>
  </si>
  <si>
    <t xml:space="preserve">Pritilata Hall, Jahangirnagar University </t>
  </si>
  <si>
    <t xml:space="preserve">I am Sadman Sakib Zisan from Pritilata hall.  Mother name Rokeya Begum Rozy ( Principal Hallsuper of Pritilata)  </t>
  </si>
  <si>
    <t>DGN6N2XO9A</t>
  </si>
  <si>
    <t>Government and Politics/49</t>
  </si>
  <si>
    <t>wishing for a successful program!</t>
  </si>
  <si>
    <t>DGN0N49ZQ8</t>
  </si>
  <si>
    <t>Management Studies (55)</t>
  </si>
  <si>
    <t>Excited to be part of the marathon</t>
  </si>
  <si>
    <t>DGN2N4EPFG</t>
  </si>
  <si>
    <t>Department of Management Studies/55 batch</t>
  </si>
  <si>
    <t xml:space="preserve">Nawab Faizunnesa </t>
  </si>
  <si>
    <t>DGN2N4TMKO</t>
  </si>
  <si>
    <t>Management Studies 55</t>
  </si>
  <si>
    <t>pritilata</t>
  </si>
  <si>
    <t>DGN2N56YS6</t>
  </si>
  <si>
    <t>Chemistry - 54</t>
  </si>
  <si>
    <t xml:space="preserve">Run for good health </t>
  </si>
  <si>
    <t>DGN6N5IHMQ</t>
  </si>
  <si>
    <t>Department of Management Studies/ 55 Batch</t>
  </si>
  <si>
    <t xml:space="preserve">Excited to participate. </t>
  </si>
  <si>
    <t>DGN8N73R2G</t>
  </si>
  <si>
    <t>DGN5N7ZJP1</t>
  </si>
  <si>
    <t>Drama and Dramatics 48</t>
  </si>
  <si>
    <t>Thank you</t>
  </si>
  <si>
    <t>DGN3N7WVRN</t>
  </si>
  <si>
    <t>CSE / 54</t>
  </si>
  <si>
    <t>Nawab Salimullah</t>
  </si>
  <si>
    <t xml:space="preserve">NO </t>
  </si>
  <si>
    <t>DGN9N9AIO5</t>
  </si>
  <si>
    <t>BANGLA/52</t>
  </si>
  <si>
    <t xml:space="preserve">Biswakabi Rabindranath Tagore </t>
  </si>
  <si>
    <t>DGN3NCX6IL</t>
  </si>
  <si>
    <t xml:space="preserve">English 52 </t>
  </si>
  <si>
    <t>Preetilata Hall</t>
  </si>
  <si>
    <t>DGN6NGGN8K</t>
  </si>
  <si>
    <t>Government &amp; Politics / 55th Batch</t>
  </si>
  <si>
    <t>DGN2NHMPJ6</t>
  </si>
  <si>
    <t>English 52</t>
  </si>
  <si>
    <t>DGN7NNASEJ</t>
  </si>
  <si>
    <t xml:space="preserve">Finance and banking </t>
  </si>
  <si>
    <t>reference number: S59551702(Bank Acc no: 107735040001)</t>
  </si>
  <si>
    <t>I have been sent money from  Bank Account.I added the account no and reference no at transaction Id section.</t>
  </si>
  <si>
    <t>DGN0NRMDS2</t>
  </si>
  <si>
    <t>Bangla 51</t>
  </si>
  <si>
    <t xml:space="preserve">Bir Protik taramon bibi </t>
  </si>
  <si>
    <t>DGN6NRV8XY</t>
  </si>
  <si>
    <t>Journalism/42</t>
  </si>
  <si>
    <t xml:space="preserve">Moulana bhahshani </t>
  </si>
  <si>
    <t>Hope for an amazing experience!</t>
  </si>
  <si>
    <t>DGN2NTA3K2</t>
  </si>
  <si>
    <t>Anthropology /55</t>
  </si>
  <si>
    <t>A FM Kamaluddin</t>
  </si>
  <si>
    <t>DGO3NVA3WJ</t>
  </si>
  <si>
    <t>GEOLOGICAL SCIENCES/ 43 BATCH</t>
  </si>
  <si>
    <t>✊🏃‍♂️</t>
  </si>
  <si>
    <t>DGO8NVQESQ</t>
  </si>
  <si>
    <t>Public Health &amp; Informatics/ 55</t>
  </si>
  <si>
    <t>Shaheed Salam Barkat Hall</t>
  </si>
  <si>
    <t xml:space="preserve">Hoping for a great event </t>
  </si>
  <si>
    <t>DGO7NVSPKZ</t>
  </si>
  <si>
    <t>IBA/42</t>
  </si>
  <si>
    <t>DGO6NVYJEA</t>
  </si>
  <si>
    <t xml:space="preserve">Enamul Shikder </t>
  </si>
  <si>
    <t>shikderju50@gmail.com</t>
  </si>
  <si>
    <t>01967576703</t>
  </si>
  <si>
    <t>DDS7LALSYD</t>
  </si>
  <si>
    <t>Law and Justice / 50 Batch</t>
  </si>
  <si>
    <t>Best of luck</t>
  </si>
  <si>
    <t>DGO7NVXOVF</t>
  </si>
  <si>
    <t>English (53)</t>
  </si>
  <si>
    <t>DGO7NW2FKZ</t>
  </si>
  <si>
    <t>History-53</t>
  </si>
  <si>
    <t xml:space="preserve">Registered </t>
  </si>
  <si>
    <t>DGO1NW2POZ</t>
  </si>
  <si>
    <t xml:space="preserve">Sher E Bangla Hall </t>
  </si>
  <si>
    <t>DGO1NW5C8V</t>
  </si>
  <si>
    <t>Urban and Regional Planning</t>
  </si>
  <si>
    <t>DGO6NW9AIO</t>
  </si>
  <si>
    <t>টি শার্ট এর ডিজাইন এবং কালার আরও ভালো হোক, শুভকামনা🌼</t>
  </si>
  <si>
    <t>পরে</t>
  </si>
  <si>
    <t>SSBH</t>
  </si>
  <si>
    <t>Transaction id : DGO8NXM8UC</t>
  </si>
  <si>
    <t>Statistics and Data Science</t>
  </si>
  <si>
    <t>Hope it will be a memorable event for me</t>
  </si>
  <si>
    <t>DGO5NXWWGT</t>
  </si>
  <si>
    <t xml:space="preserve">Kaji Najrul Islam </t>
  </si>
  <si>
    <t xml:space="preserve">ভালো আয়োজন </t>
  </si>
  <si>
    <t>DGO3NXXFQD</t>
  </si>
  <si>
    <t>CSE - 55</t>
  </si>
  <si>
    <t>Sher E Bangla A K Fajlul Hok Hall</t>
  </si>
  <si>
    <t>DGO9NY1SUX</t>
  </si>
  <si>
    <t xml:space="preserve">রেজিষ্ট্রেশন ফি টা একটু কমানো উচিত </t>
  </si>
  <si>
    <t>DGO3NY8YA9</t>
  </si>
  <si>
    <t>Bangla 53</t>
  </si>
  <si>
    <t>Bisshaw Kabi Rabindranath Tagore Hall</t>
  </si>
  <si>
    <t>DGO0O1ARGC</t>
  </si>
  <si>
    <t>Geography and Environment, 55</t>
  </si>
  <si>
    <t xml:space="preserve">Thanks for arranging such an event.   </t>
  </si>
  <si>
    <t>DGL4L9CZXO</t>
  </si>
  <si>
    <t>Subir Bakshi</t>
  </si>
  <si>
    <t xml:space="preserve">Finance &amp; Banking </t>
  </si>
  <si>
    <t xml:space="preserve">Maulana Bhashani </t>
  </si>
  <si>
    <t>hello.subirbakshi@gmail.com</t>
  </si>
  <si>
    <t>01638941158</t>
  </si>
  <si>
    <t>GOOD.</t>
  </si>
  <si>
    <t>Kiron</t>
  </si>
  <si>
    <t xml:space="preserve">Bir Protik Taramon Bibi Hall </t>
  </si>
  <si>
    <t>DGO9O2XFQ9</t>
  </si>
  <si>
    <t xml:space="preserve">Finance &amp; Banking, 47 batch </t>
  </si>
  <si>
    <t>DFP2P3DY84</t>
  </si>
  <si>
    <t xml:space="preserve">Dipto </t>
  </si>
  <si>
    <t xml:space="preserve">Physics </t>
  </si>
  <si>
    <t xml:space="preserve">Dipto Adhikari </t>
  </si>
  <si>
    <t>addipto566@gmail.com</t>
  </si>
  <si>
    <t>01956017362</t>
  </si>
  <si>
    <t>Yess</t>
  </si>
  <si>
    <t>DGO6O3H9LC</t>
  </si>
  <si>
    <t>Physics 55</t>
  </si>
  <si>
    <t>DG01048U2D</t>
  </si>
  <si>
    <t>Finance and Banking / 43</t>
  </si>
  <si>
    <t>Al-beruni</t>
  </si>
  <si>
    <t>Enthusiastic</t>
  </si>
  <si>
    <t>DGO8O4JNJO</t>
  </si>
  <si>
    <t>Thank you for arranging this event.</t>
  </si>
  <si>
    <t>DGO6O4MZP6</t>
  </si>
  <si>
    <t xml:space="preserve">Sumaia </t>
  </si>
  <si>
    <t>DGO7O71RXF</t>
  </si>
  <si>
    <t>Math-51</t>
  </si>
  <si>
    <t xml:space="preserve">Shaheed Tajuddin Ahmed hall </t>
  </si>
  <si>
    <t>Nai</t>
  </si>
  <si>
    <t>DGO1O7151X</t>
  </si>
  <si>
    <t>Botany 51</t>
  </si>
  <si>
    <t xml:space="preserve">Good initiative to recognise 5th August. </t>
  </si>
  <si>
    <t>DGO5O76SWD</t>
  </si>
  <si>
    <t>URP _52</t>
  </si>
  <si>
    <t>Vb</t>
  </si>
  <si>
    <t>DGO3O8A0H9</t>
  </si>
  <si>
    <t>Economics/50</t>
  </si>
  <si>
    <t>Biswakabi Rabindranath Tagore hall</t>
  </si>
  <si>
    <t>Great initiative.Hopefullay had a good time with JUCSU &amp; all</t>
  </si>
  <si>
    <t>DGO3O8FRQ3</t>
  </si>
  <si>
    <t>Government and Politics, 50.</t>
  </si>
  <si>
    <t>Hope the event will be good.</t>
  </si>
  <si>
    <t>DGO6O8RXX6</t>
  </si>
  <si>
    <t>DGO2O8XVFQ</t>
  </si>
  <si>
    <t>Marketing 50</t>
  </si>
  <si>
    <t xml:space="preserve">Excited! </t>
  </si>
  <si>
    <t>DG0608XQ7S</t>
  </si>
  <si>
    <t xml:space="preserve">International Relations </t>
  </si>
  <si>
    <t>Sher-E-Bangla Hall</t>
  </si>
  <si>
    <t>আমি ব্যক্তিগতভাবে অনেক আনন্দিত।  কারণ, ক্যাম্পাস জীবনে আমার প্রথম ম্যারাথন দৌড় দিব।</t>
  </si>
  <si>
    <t>DGO1O9PG3T</t>
  </si>
  <si>
    <t xml:space="preserve">. </t>
  </si>
  <si>
    <t>DGO0OA6DO8</t>
  </si>
  <si>
    <t>Fazilatunnesa</t>
  </si>
  <si>
    <t>Sabrina</t>
  </si>
  <si>
    <t>DGO5OA7CP7</t>
  </si>
  <si>
    <t>Hand Cash Dibo</t>
  </si>
  <si>
    <t xml:space="preserve">Ahasan Habib Akash </t>
  </si>
  <si>
    <t>ahasanhabibakash1000@gmail.com</t>
  </si>
  <si>
    <t>01631630116</t>
  </si>
  <si>
    <t xml:space="preserve">রানে অংশগ্রহণ করবো ইনশাআল্লাহ </t>
  </si>
  <si>
    <t>DGO9OBQ607</t>
  </si>
  <si>
    <t>Public Administration 53</t>
  </si>
  <si>
    <t xml:space="preserve">Shaheed Rafiq Jabbar </t>
  </si>
  <si>
    <t>যদি কোনো কারণে অনুপস্থিত থাকি তবে আমার জার্সি টা কি পাবো?</t>
  </si>
  <si>
    <t>DGO2OBWPYQ</t>
  </si>
  <si>
    <t>Management/48</t>
  </si>
  <si>
    <t>DGO1OCOTGL</t>
  </si>
  <si>
    <t xml:space="preserve">Department of Government and politics , 55 batch </t>
  </si>
  <si>
    <t xml:space="preserve">Shaheed felani khatun hall </t>
  </si>
  <si>
    <t>Good quality er T-shirt 👕</t>
  </si>
  <si>
    <t>DGO8OD3F2G</t>
  </si>
  <si>
    <t xml:space="preserve">Kazi Nazrul Islam Hall </t>
  </si>
  <si>
    <t>4 tarikhe Jersey delivery dile valo hobe</t>
  </si>
  <si>
    <t>DGO8OEBCTI</t>
  </si>
  <si>
    <t>Mathematics/50</t>
  </si>
  <si>
    <t>প্রদত্ত সাইজ চার্ট অনুযায়ী M, নয়তো L</t>
  </si>
  <si>
    <t>DGO3OF7Z9D</t>
  </si>
  <si>
    <t>Management 48</t>
  </si>
  <si>
    <t>Sheikh Hasina Hall</t>
  </si>
  <si>
    <t xml:space="preserve">Please ensure the Jersey size. </t>
  </si>
  <si>
    <t>DGO3OHAFHF</t>
  </si>
  <si>
    <t>Zoology/ 49</t>
  </si>
  <si>
    <t xml:space="preserve">Jahanara Imam hall </t>
  </si>
  <si>
    <t>DGO7OH98YZ</t>
  </si>
  <si>
    <t>Geological sciences 52 batch</t>
  </si>
  <si>
    <t>Moulana bhashani Hall</t>
  </si>
  <si>
    <t>color vslo lageni</t>
  </si>
  <si>
    <t>DGO7OHO7Z5</t>
  </si>
  <si>
    <t xml:space="preserve">Jahanara Imam </t>
  </si>
  <si>
    <t>DGO6OHXSIQ</t>
  </si>
  <si>
    <t>Zoology 49</t>
  </si>
  <si>
    <t>DGO0OKGJUG</t>
  </si>
  <si>
    <t>জার্সি সুন্দর ডিজাইনের এবং লগো যেন ভালো মতো বুঝা যায়।</t>
  </si>
  <si>
    <t>DGO2OKIBOA</t>
  </si>
  <si>
    <t xml:space="preserve">Mathematics 52th batch </t>
  </si>
  <si>
    <t>BTBH</t>
  </si>
  <si>
    <t xml:space="preserve">Just for new experience </t>
  </si>
  <si>
    <t>DGO8OKYF1O</t>
  </si>
  <si>
    <t>Botany/54</t>
  </si>
  <si>
    <t>Run and enjoy it</t>
  </si>
  <si>
    <t>DGO4ONMRKS</t>
  </si>
  <si>
    <t xml:space="preserve">AFM Kamal Uddin Hall </t>
  </si>
  <si>
    <t xml:space="preserve">Best wishes </t>
  </si>
  <si>
    <t>DGO8OO2ZIA</t>
  </si>
  <si>
    <t>Physics/54</t>
  </si>
  <si>
    <t>Thanks to JUCSU Sports Secretary Mahmudul Hasan Kiron Vai to run a great and enjoyable programme again</t>
  </si>
  <si>
    <t>DGO5OP07DL</t>
  </si>
  <si>
    <t>Government &amp; Politics - 54</t>
  </si>
  <si>
    <t>Government and politics</t>
  </si>
  <si>
    <t>Sher E Bangla A K Fazlul Haque Hall</t>
  </si>
  <si>
    <t>******</t>
  </si>
  <si>
    <t>Law 51</t>
  </si>
  <si>
    <t>Tajuddin Ahmed Hall</t>
  </si>
  <si>
    <t xml:space="preserve">Best wishes. </t>
  </si>
  <si>
    <t>DGO8OQU9V8</t>
  </si>
  <si>
    <t>Government and Politics (54)</t>
  </si>
  <si>
    <t>Good 😊</t>
  </si>
  <si>
    <t>DGO7OR1FFF</t>
  </si>
  <si>
    <t xml:space="preserve">Alberuni </t>
  </si>
  <si>
    <t>Everything is ok. Hoping for a good marathon.</t>
  </si>
  <si>
    <t>DGO3OR2RBR</t>
  </si>
  <si>
    <t>Philosophy, 45th</t>
  </si>
  <si>
    <t xml:space="preserve">Thanks for organizing </t>
  </si>
  <si>
    <t>If the jersey has measurements error, then i need the "S" size</t>
  </si>
  <si>
    <t>DGO9ORKDI7</t>
  </si>
  <si>
    <t>Moulana Bhashani</t>
  </si>
  <si>
    <t>All good.</t>
  </si>
  <si>
    <t>DGO3ORYLHZ</t>
  </si>
  <si>
    <t xml:space="preserve">Management Studies - 50th Batch </t>
  </si>
  <si>
    <t>DGO4OSCCLM</t>
  </si>
  <si>
    <t xml:space="preserve">IIT 49 </t>
  </si>
  <si>
    <t>Kamal uddin</t>
  </si>
  <si>
    <t>Uttara theke  bus thakbe ki? Thakle Time janaben plz</t>
  </si>
  <si>
    <t>DGO1OSD6TV</t>
  </si>
  <si>
    <t>Urban and Regional Planning /51 batch</t>
  </si>
  <si>
    <t>DGO7OSCMTH</t>
  </si>
  <si>
    <t>Urp</t>
  </si>
  <si>
    <t>DGO8OSF44S</t>
  </si>
  <si>
    <t xml:space="preserve">A F M Kamaluddin hall </t>
  </si>
  <si>
    <t>shiblu</t>
  </si>
  <si>
    <t>SHER-E-BANGLA A K FAZLUL HAQUE HALL</t>
  </si>
  <si>
    <t>DGO5OSKK8F</t>
  </si>
  <si>
    <t>DGO1OSO81L</t>
  </si>
  <si>
    <t xml:space="preserve">Thanks </t>
  </si>
  <si>
    <t>DGO3OSROS7</t>
  </si>
  <si>
    <t>Nill</t>
  </si>
  <si>
    <t>DGO7OSV3T7</t>
  </si>
  <si>
    <t xml:space="preserve">Moulana Bhashani </t>
  </si>
  <si>
    <t>DGO0OT4JGS</t>
  </si>
  <si>
    <t>Urban and Regional Planning 54</t>
  </si>
  <si>
    <t xml:space="preserve">Kamaluddin </t>
  </si>
  <si>
    <t>DGO9OTRFEF</t>
  </si>
  <si>
    <t xml:space="preserve">Department of Geological sciences </t>
  </si>
  <si>
    <t>Rafik Jabbar hall</t>
  </si>
  <si>
    <t>Thanks you</t>
  </si>
  <si>
    <t>DGO3OUGR97</t>
  </si>
  <si>
    <t>Department of chemistry /55</t>
  </si>
  <si>
    <t>How can I confirm that my registration is completed?</t>
  </si>
  <si>
    <t>DGO1OUQ7C7</t>
  </si>
  <si>
    <t>Mathematics 50</t>
  </si>
  <si>
    <t>Nawab salimullah hall</t>
  </si>
  <si>
    <t>Nothing</t>
  </si>
  <si>
    <t>DGO5OUOKHP</t>
  </si>
  <si>
    <t>Chemistry /44</t>
  </si>
  <si>
    <t>Mowlana Bhashani hall</t>
  </si>
  <si>
    <t>Send money from : 01701584980</t>
  </si>
  <si>
    <t xml:space="preserve">Jahanara imam hall </t>
  </si>
  <si>
    <t>DGO0OV16US</t>
  </si>
  <si>
    <t>Department-Economics,Batch-55</t>
  </si>
  <si>
    <t>DGO1OV6R03</t>
  </si>
  <si>
    <t xml:space="preserve">A.F.M Kamaluddin hall </t>
  </si>
  <si>
    <t xml:space="preserve">In sha allah </t>
  </si>
  <si>
    <t>DGO3OWJA9T</t>
  </si>
  <si>
    <t xml:space="preserve">Very interesting </t>
  </si>
  <si>
    <t>DGO8OWPVUQ</t>
  </si>
  <si>
    <t>Marketing 55 batch</t>
  </si>
  <si>
    <t xml:space="preserve">July 24 jagoroni hall </t>
  </si>
  <si>
    <t>DGP6OWUZ0A</t>
  </si>
  <si>
    <t>Very interesting</t>
  </si>
  <si>
    <t>01882863709</t>
  </si>
  <si>
    <t xml:space="preserve">Mohammad Ezharul Hoque </t>
  </si>
  <si>
    <t xml:space="preserve">Jatiya kabi Kazi Nazrul Islam hall </t>
  </si>
  <si>
    <t>ezharulhoque09@gmail.com</t>
  </si>
  <si>
    <t xml:space="preserve">XL( full sleeve 😭🙏) </t>
  </si>
  <si>
    <t xml:space="preserve">ফি আরেকটু কমালে ভালো হতো </t>
  </si>
  <si>
    <t>DGP3OX47YL</t>
  </si>
  <si>
    <t>Economics 52</t>
  </si>
  <si>
    <t>MBH</t>
  </si>
  <si>
    <t xml:space="preserve">Waiting for the event </t>
  </si>
  <si>
    <t>DGP3OXIQ8T</t>
  </si>
  <si>
    <t>IR-52</t>
  </si>
  <si>
    <t>DGP8OXJYLW</t>
  </si>
  <si>
    <t>Economics, 50th batch</t>
  </si>
  <si>
    <t>Kazi Nazrul Islam Hall</t>
  </si>
  <si>
    <t>DGP6PZR4RI</t>
  </si>
  <si>
    <t>Zoology 51</t>
  </si>
  <si>
    <t>DGQ1Q40Y9D</t>
  </si>
  <si>
    <t>Kazi Nazrul Hall</t>
  </si>
  <si>
    <t>Eagerly waiting...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</si>
</sst>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0" xfId="0" applyFon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quotePrefix="1"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quotePrefix="1" borderId="0" fillId="0" fontId="2" numFmtId="0" xfId="0" applyAlignment="1" applyFont="1">
      <alignment readingOrder="0"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374" displayName="Form_Responses" name="Form_Responses" id="1">
  <tableColumns count="10">
    <tableColumn name="Timestamp" id="1"/>
    <tableColumn name="01317982413 এই নাম্বারে বিকেশে টাকা পাঠিয়ে ট্রানঞ্জেকশন আইডি এখানে দিন। ১ থেকে ৪৭ ব্যাচ ৪০০ টাকা, ৪৮ ব্যাচ থেকে ৫৫ব্যাচ = ৩৫০ টাকা" id="2"/>
    <tableColumn name="Name" id="3"/>
    <tableColumn name="Department/Batch" id="4"/>
    <tableColumn name="Hall Name" id="5"/>
    <tableColumn name="Email" id="6"/>
    <tableColumn name="Phone Number" id="7"/>
    <tableColumn name="Size" id="8"/>
    <tableColumn name="Comments" id="9"/>
    <tableColumn name="Verify "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15" width="18.88"/>
  </cols>
  <sheetData>
    <row r="1" ht="22.5" customHeight="1">
      <c r="A1" s="4" t="s">
        <v>20</v>
      </c>
      <c r="B1" s="4" t="s">
        <v>30</v>
      </c>
      <c r="C1" s="4" t="s">
        <v>0</v>
      </c>
      <c r="D1" s="4" t="s">
        <v>35</v>
      </c>
      <c r="E1" s="4" t="s">
        <v>38</v>
      </c>
      <c r="F1" s="4" t="s">
        <v>1</v>
      </c>
      <c r="G1" s="4" t="s">
        <v>2</v>
      </c>
      <c r="H1" s="4" t="s">
        <v>3</v>
      </c>
      <c r="I1" s="4" t="s">
        <v>48</v>
      </c>
      <c r="J1" s="5" t="s">
        <v>52</v>
      </c>
    </row>
    <row r="2" ht="22.5" customHeight="1">
      <c r="A2" s="6">
        <v>46221.12486516204</v>
      </c>
      <c r="B2" s="7" t="s">
        <v>64</v>
      </c>
      <c r="C2" s="7" t="s">
        <v>69</v>
      </c>
      <c r="D2" s="7" t="s">
        <v>72</v>
      </c>
      <c r="E2" s="7" t="s">
        <v>76</v>
      </c>
      <c r="F2" s="7" t="s">
        <v>81</v>
      </c>
      <c r="G2" s="8" t="s">
        <v>85</v>
      </c>
      <c r="H2" s="7" t="s">
        <v>89</v>
      </c>
      <c r="I2" s="7" t="s">
        <v>92</v>
      </c>
      <c r="J2" s="7" t="s">
        <v>95</v>
      </c>
    </row>
    <row r="3" ht="22.5" customHeight="1">
      <c r="A3" s="6">
        <v>46221.128841620375</v>
      </c>
      <c r="B3" s="7" t="s">
        <v>102</v>
      </c>
      <c r="C3" s="7" t="s">
        <v>5</v>
      </c>
      <c r="D3" s="7" t="s">
        <v>109</v>
      </c>
      <c r="E3" s="7" t="s">
        <v>111</v>
      </c>
      <c r="F3" s="7" t="s">
        <v>6</v>
      </c>
      <c r="G3" s="8" t="s">
        <v>7</v>
      </c>
      <c r="H3" s="7" t="s">
        <v>8</v>
      </c>
      <c r="I3" s="7" t="s">
        <v>118</v>
      </c>
      <c r="J3" s="7" t="s">
        <v>121</v>
      </c>
    </row>
    <row r="4" ht="22.5" customHeight="1">
      <c r="A4" s="6">
        <v>46221.13243006944</v>
      </c>
      <c r="B4" s="7" t="s">
        <v>128</v>
      </c>
      <c r="C4" s="7" t="s">
        <v>9</v>
      </c>
      <c r="D4" s="7">
        <v>54.0</v>
      </c>
      <c r="E4" s="7" t="s">
        <v>136</v>
      </c>
      <c r="F4" s="7" t="s">
        <v>10</v>
      </c>
      <c r="G4" s="8" t="s">
        <v>11</v>
      </c>
      <c r="H4" s="7" t="s">
        <v>12</v>
      </c>
      <c r="I4" s="7" t="s">
        <v>153</v>
      </c>
      <c r="J4" s="7" t="s">
        <v>121</v>
      </c>
    </row>
    <row r="5" ht="22.5" customHeight="1">
      <c r="A5" s="6">
        <v>46221.136212708334</v>
      </c>
      <c r="B5" s="7" t="s">
        <v>166</v>
      </c>
      <c r="C5" s="7" t="s">
        <v>171</v>
      </c>
      <c r="D5" s="7">
        <v>54.0</v>
      </c>
      <c r="E5" s="7" t="s">
        <v>179</v>
      </c>
      <c r="F5" s="7" t="s">
        <v>184</v>
      </c>
      <c r="G5" s="8" t="s">
        <v>11</v>
      </c>
      <c r="H5" s="7" t="s">
        <v>12</v>
      </c>
      <c r="I5" s="7" t="s">
        <v>196</v>
      </c>
      <c r="J5" s="7" t="s">
        <v>95</v>
      </c>
    </row>
    <row r="6" ht="22.5" customHeight="1">
      <c r="A6" s="6">
        <v>46221.14166039352</v>
      </c>
      <c r="B6" s="7" t="s">
        <v>203</v>
      </c>
      <c r="C6" s="7" t="s">
        <v>13</v>
      </c>
      <c r="D6" s="7" t="s">
        <v>209</v>
      </c>
      <c r="E6" s="7" t="s">
        <v>212</v>
      </c>
      <c r="F6" s="7" t="s">
        <v>14</v>
      </c>
      <c r="G6" s="8" t="s">
        <v>15</v>
      </c>
      <c r="H6" s="7" t="s">
        <v>8</v>
      </c>
      <c r="I6" s="7" t="s">
        <v>224</v>
      </c>
      <c r="J6" s="7" t="s">
        <v>121</v>
      </c>
    </row>
    <row r="7" ht="22.5" customHeight="1">
      <c r="A7" s="6">
        <v>46221.142082175924</v>
      </c>
      <c r="B7" s="7" t="s">
        <v>231</v>
      </c>
      <c r="C7" s="7" t="s">
        <v>16</v>
      </c>
      <c r="D7" s="7" t="s">
        <v>238</v>
      </c>
      <c r="E7" s="7" t="s">
        <v>243</v>
      </c>
      <c r="F7" s="7" t="s">
        <v>17</v>
      </c>
      <c r="G7" s="8" t="s">
        <v>18</v>
      </c>
      <c r="H7" s="7" t="s">
        <v>12</v>
      </c>
      <c r="I7" s="7" t="s">
        <v>255</v>
      </c>
      <c r="J7" s="7" t="s">
        <v>121</v>
      </c>
    </row>
    <row r="8" ht="22.5" customHeight="1">
      <c r="A8" s="6">
        <v>46221.17130775463</v>
      </c>
      <c r="B8" s="7" t="s">
        <v>263</v>
      </c>
      <c r="C8" s="7" t="s">
        <v>19</v>
      </c>
      <c r="D8" s="7" t="s">
        <v>270</v>
      </c>
      <c r="E8" s="7" t="s">
        <v>274</v>
      </c>
      <c r="F8" s="7" t="s">
        <v>21</v>
      </c>
      <c r="G8" s="8" t="s">
        <v>22</v>
      </c>
      <c r="H8" s="7" t="s">
        <v>23</v>
      </c>
      <c r="I8" s="7" t="s">
        <v>284</v>
      </c>
      <c r="J8" s="7" t="s">
        <v>121</v>
      </c>
    </row>
    <row r="9" ht="22.5" customHeight="1">
      <c r="A9" s="6">
        <v>46221.18173244213</v>
      </c>
      <c r="B9" s="7" t="s">
        <v>294</v>
      </c>
      <c r="C9" s="7" t="s">
        <v>24</v>
      </c>
      <c r="D9" s="7" t="s">
        <v>296</v>
      </c>
      <c r="E9" s="7" t="s">
        <v>299</v>
      </c>
      <c r="F9" s="7" t="s">
        <v>25</v>
      </c>
      <c r="G9" s="8" t="s">
        <v>26</v>
      </c>
      <c r="H9" s="7" t="s">
        <v>8</v>
      </c>
      <c r="I9" s="7" t="s">
        <v>306</v>
      </c>
      <c r="J9" s="7" t="s">
        <v>121</v>
      </c>
    </row>
    <row r="10" ht="22.5" customHeight="1">
      <c r="A10" s="6">
        <v>46221.23065366899</v>
      </c>
      <c r="B10" s="7" t="s">
        <v>311</v>
      </c>
      <c r="C10" s="7" t="s">
        <v>27</v>
      </c>
      <c r="D10" s="7" t="s">
        <v>317</v>
      </c>
      <c r="E10" s="7" t="s">
        <v>136</v>
      </c>
      <c r="F10" s="7" t="s">
        <v>28</v>
      </c>
      <c r="G10" s="8" t="s">
        <v>29</v>
      </c>
      <c r="H10" s="7" t="s">
        <v>23</v>
      </c>
      <c r="I10" s="7" t="s">
        <v>330</v>
      </c>
      <c r="J10" s="7" t="s">
        <v>121</v>
      </c>
    </row>
    <row r="11" ht="22.5" customHeight="1">
      <c r="A11" s="6">
        <v>46221.242404606484</v>
      </c>
      <c r="B11" s="7" t="s">
        <v>339</v>
      </c>
      <c r="C11" s="7" t="s">
        <v>31</v>
      </c>
      <c r="D11" s="7">
        <v>54.0</v>
      </c>
      <c r="E11" s="7" t="s">
        <v>347</v>
      </c>
      <c r="F11" s="7" t="s">
        <v>32</v>
      </c>
      <c r="G11" s="8" t="s">
        <v>33</v>
      </c>
      <c r="H11" s="7" t="s">
        <v>12</v>
      </c>
      <c r="I11" s="7" t="s">
        <v>358</v>
      </c>
      <c r="J11" s="7" t="s">
        <v>121</v>
      </c>
    </row>
    <row r="12" ht="22.5" customHeight="1">
      <c r="A12" s="6">
        <v>46221.29651915509</v>
      </c>
      <c r="B12" s="7" t="s">
        <v>367</v>
      </c>
      <c r="C12" s="7" t="s">
        <v>34</v>
      </c>
      <c r="D12" s="7">
        <v>47.0</v>
      </c>
      <c r="E12" s="7" t="s">
        <v>374</v>
      </c>
      <c r="F12" s="7" t="s">
        <v>36</v>
      </c>
      <c r="G12" s="8" t="s">
        <v>37</v>
      </c>
      <c r="H12" s="7" t="s">
        <v>8</v>
      </c>
      <c r="I12" s="7" t="s">
        <v>384</v>
      </c>
      <c r="J12" s="7" t="s">
        <v>121</v>
      </c>
    </row>
    <row r="13" ht="22.5" customHeight="1">
      <c r="A13" s="6">
        <v>46221.34549341435</v>
      </c>
      <c r="B13" s="7" t="s">
        <v>395</v>
      </c>
      <c r="C13" s="7" t="s">
        <v>39</v>
      </c>
      <c r="D13" s="7" t="s">
        <v>400</v>
      </c>
      <c r="E13" s="7" t="s">
        <v>403</v>
      </c>
      <c r="F13" s="7" t="s">
        <v>40</v>
      </c>
      <c r="G13" s="8" t="s">
        <v>41</v>
      </c>
      <c r="H13" s="7" t="s">
        <v>23</v>
      </c>
      <c r="I13" s="7" t="s">
        <v>415</v>
      </c>
      <c r="J13" s="7" t="s">
        <v>121</v>
      </c>
    </row>
    <row r="14" ht="22.5" customHeight="1">
      <c r="A14" s="6">
        <v>46221.35639008102</v>
      </c>
      <c r="B14" s="7" t="s">
        <v>424</v>
      </c>
      <c r="C14" s="7" t="s">
        <v>428</v>
      </c>
      <c r="D14" s="7" t="s">
        <v>431</v>
      </c>
      <c r="E14" s="7" t="s">
        <v>434</v>
      </c>
      <c r="F14" s="7" t="s">
        <v>437</v>
      </c>
      <c r="G14" s="8" t="s">
        <v>441</v>
      </c>
      <c r="H14" s="7" t="s">
        <v>12</v>
      </c>
      <c r="I14" s="7" t="s">
        <v>447</v>
      </c>
      <c r="J14" s="7" t="s">
        <v>95</v>
      </c>
    </row>
    <row r="15" ht="22.5" customHeight="1">
      <c r="A15" s="6">
        <v>46221.371150127314</v>
      </c>
      <c r="B15" s="7" t="s">
        <v>455</v>
      </c>
      <c r="C15" s="7" t="s">
        <v>45</v>
      </c>
      <c r="D15" s="7" t="s">
        <v>460</v>
      </c>
      <c r="E15" s="7" t="s">
        <v>463</v>
      </c>
      <c r="F15" s="7" t="s">
        <v>46</v>
      </c>
      <c r="G15" s="8" t="s">
        <v>47</v>
      </c>
      <c r="H15" s="7" t="s">
        <v>23</v>
      </c>
      <c r="I15" s="7" t="s">
        <v>476</v>
      </c>
      <c r="J15" s="7" t="s">
        <v>95</v>
      </c>
    </row>
    <row r="16" ht="22.5" customHeight="1">
      <c r="A16" s="6">
        <v>46221.37334802083</v>
      </c>
      <c r="B16" s="7" t="s">
        <v>487</v>
      </c>
      <c r="C16" s="7" t="s">
        <v>42</v>
      </c>
      <c r="D16" s="7" t="s">
        <v>496</v>
      </c>
      <c r="E16" s="7" t="s">
        <v>500</v>
      </c>
      <c r="F16" s="7" t="s">
        <v>43</v>
      </c>
      <c r="G16" s="8" t="s">
        <v>44</v>
      </c>
      <c r="H16" s="7" t="s">
        <v>23</v>
      </c>
      <c r="I16" s="7" t="s">
        <v>513</v>
      </c>
      <c r="J16" s="7" t="s">
        <v>121</v>
      </c>
    </row>
    <row r="17" ht="22.5" customHeight="1">
      <c r="A17" s="6">
        <v>46221.37360548611</v>
      </c>
      <c r="B17" s="7" t="s">
        <v>526</v>
      </c>
      <c r="C17" s="7" t="s">
        <v>45</v>
      </c>
      <c r="D17" s="7" t="s">
        <v>455</v>
      </c>
      <c r="E17" s="7" t="s">
        <v>540</v>
      </c>
      <c r="F17" s="7" t="s">
        <v>46</v>
      </c>
      <c r="G17" s="8" t="s">
        <v>47</v>
      </c>
      <c r="H17" s="7" t="s">
        <v>23</v>
      </c>
      <c r="I17" s="7" t="s">
        <v>476</v>
      </c>
      <c r="J17" s="7" t="s">
        <v>121</v>
      </c>
    </row>
    <row r="18" ht="22.5" customHeight="1">
      <c r="A18" s="6">
        <v>46221.37717392361</v>
      </c>
      <c r="B18" s="7" t="s">
        <v>559</v>
      </c>
      <c r="C18" s="7" t="s">
        <v>49</v>
      </c>
      <c r="D18" s="7">
        <v>53.0</v>
      </c>
      <c r="E18" s="7" t="s">
        <v>572</v>
      </c>
      <c r="F18" s="7" t="s">
        <v>50</v>
      </c>
      <c r="G18" s="8" t="s">
        <v>51</v>
      </c>
      <c r="H18" s="7" t="s">
        <v>12</v>
      </c>
      <c r="I18" s="7" t="s">
        <v>585</v>
      </c>
      <c r="J18" s="7" t="s">
        <v>121</v>
      </c>
    </row>
    <row r="19" ht="22.5" customHeight="1">
      <c r="A19" s="6">
        <v>46221.387288067126</v>
      </c>
      <c r="B19" s="7" t="s">
        <v>598</v>
      </c>
      <c r="C19" s="7" t="s">
        <v>53</v>
      </c>
      <c r="D19" s="7" t="s">
        <v>606</v>
      </c>
      <c r="E19" s="7" t="s">
        <v>610</v>
      </c>
      <c r="F19" s="7" t="s">
        <v>54</v>
      </c>
      <c r="G19" s="8" t="s">
        <v>55</v>
      </c>
      <c r="H19" s="7" t="s">
        <v>56</v>
      </c>
      <c r="I19" s="7" t="s">
        <v>625</v>
      </c>
      <c r="J19" s="7" t="s">
        <v>121</v>
      </c>
    </row>
    <row r="20" ht="22.5" customHeight="1">
      <c r="A20" s="6">
        <v>46221.39732337963</v>
      </c>
      <c r="B20" s="7" t="s">
        <v>635</v>
      </c>
      <c r="C20" s="7" t="s">
        <v>639</v>
      </c>
      <c r="D20" s="7" t="s">
        <v>652</v>
      </c>
      <c r="E20" s="7" t="s">
        <v>656</v>
      </c>
      <c r="F20" s="7" t="s">
        <v>663</v>
      </c>
      <c r="G20" s="8" t="s">
        <v>670</v>
      </c>
      <c r="H20" s="7" t="s">
        <v>8</v>
      </c>
      <c r="I20" s="7" t="s">
        <v>678</v>
      </c>
      <c r="J20" s="7" t="s">
        <v>95</v>
      </c>
    </row>
    <row r="21" ht="22.5" customHeight="1">
      <c r="A21" s="6">
        <v>46221.423181527774</v>
      </c>
      <c r="B21" s="7" t="s">
        <v>691</v>
      </c>
      <c r="C21" s="7" t="s">
        <v>57</v>
      </c>
      <c r="D21" s="7" t="s">
        <v>699</v>
      </c>
      <c r="E21" s="7" t="s">
        <v>704</v>
      </c>
      <c r="F21" s="7" t="s">
        <v>58</v>
      </c>
      <c r="G21" s="8" t="s">
        <v>59</v>
      </c>
      <c r="H21" s="7" t="s">
        <v>23</v>
      </c>
      <c r="I21" s="7" t="s">
        <v>720</v>
      </c>
      <c r="J21" s="7" t="s">
        <v>121</v>
      </c>
    </row>
    <row r="22" ht="22.5" customHeight="1">
      <c r="A22" s="6">
        <v>46221.424355717594</v>
      </c>
      <c r="B22" s="7" t="s">
        <v>730</v>
      </c>
      <c r="C22" s="7" t="s">
        <v>60</v>
      </c>
      <c r="D22" s="7" t="s">
        <v>736</v>
      </c>
      <c r="E22" s="7" t="s">
        <v>740</v>
      </c>
      <c r="F22" s="7" t="s">
        <v>61</v>
      </c>
      <c r="G22" s="8" t="s">
        <v>62</v>
      </c>
      <c r="H22" s="7" t="s">
        <v>63</v>
      </c>
      <c r="I22" s="7" t="s">
        <v>750</v>
      </c>
      <c r="J22" s="7" t="s">
        <v>121</v>
      </c>
    </row>
    <row r="23" ht="22.5" customHeight="1">
      <c r="A23" s="6">
        <v>46221.425029652775</v>
      </c>
      <c r="B23" s="7" t="s">
        <v>758</v>
      </c>
      <c r="C23" s="7" t="s">
        <v>65</v>
      </c>
      <c r="D23" s="7" t="s">
        <v>766</v>
      </c>
      <c r="E23" s="7" t="s">
        <v>769</v>
      </c>
      <c r="F23" s="7" t="s">
        <v>66</v>
      </c>
      <c r="G23" s="8" t="s">
        <v>67</v>
      </c>
      <c r="H23" s="7" t="s">
        <v>8</v>
      </c>
      <c r="I23" s="7" t="s">
        <v>785</v>
      </c>
      <c r="J23" s="7" t="s">
        <v>121</v>
      </c>
    </row>
    <row r="24" ht="22.5" customHeight="1">
      <c r="A24" s="6">
        <v>46221.43617767361</v>
      </c>
      <c r="B24" s="7" t="s">
        <v>798</v>
      </c>
      <c r="C24" s="7" t="s">
        <v>68</v>
      </c>
      <c r="D24" s="7" t="s">
        <v>803</v>
      </c>
      <c r="E24" s="7" t="s">
        <v>806</v>
      </c>
      <c r="F24" s="7" t="s">
        <v>70</v>
      </c>
      <c r="G24" s="8" t="s">
        <v>71</v>
      </c>
      <c r="H24" s="7" t="s">
        <v>12</v>
      </c>
      <c r="I24" s="7" t="s">
        <v>815</v>
      </c>
      <c r="J24" s="7" t="s">
        <v>121</v>
      </c>
    </row>
    <row r="25" ht="22.5" customHeight="1">
      <c r="A25" s="6">
        <v>46221.44674170139</v>
      </c>
      <c r="B25" s="7">
        <v>53.0</v>
      </c>
      <c r="C25" s="7" t="s">
        <v>826</v>
      </c>
      <c r="D25" s="7">
        <v>53.0</v>
      </c>
      <c r="E25" s="7" t="s">
        <v>832</v>
      </c>
      <c r="F25" s="7" t="s">
        <v>835</v>
      </c>
      <c r="G25" s="8" t="s">
        <v>838</v>
      </c>
      <c r="H25" s="7" t="s">
        <v>23</v>
      </c>
      <c r="I25" s="7" t="s">
        <v>330</v>
      </c>
      <c r="J25" s="7" t="s">
        <v>95</v>
      </c>
    </row>
    <row r="26" ht="22.5" customHeight="1">
      <c r="A26" s="6">
        <v>46221.45624733796</v>
      </c>
      <c r="B26" s="7" t="s">
        <v>854</v>
      </c>
      <c r="C26" s="7" t="s">
        <v>73</v>
      </c>
      <c r="D26" s="7" t="s">
        <v>858</v>
      </c>
      <c r="E26" s="7" t="s">
        <v>861</v>
      </c>
      <c r="F26" s="7" t="s">
        <v>74</v>
      </c>
      <c r="G26" s="8" t="s">
        <v>75</v>
      </c>
      <c r="H26" s="7" t="s">
        <v>12</v>
      </c>
      <c r="I26" s="7" t="s">
        <v>872</v>
      </c>
      <c r="J26" s="7" t="s">
        <v>121</v>
      </c>
    </row>
    <row r="27" ht="22.5" customHeight="1">
      <c r="A27" s="6">
        <v>46221.45892228009</v>
      </c>
      <c r="B27" s="7" t="s">
        <v>879</v>
      </c>
      <c r="C27" s="7" t="s">
        <v>77</v>
      </c>
      <c r="D27" s="7" t="s">
        <v>885</v>
      </c>
      <c r="E27" s="7" t="s">
        <v>888</v>
      </c>
      <c r="F27" s="7" t="s">
        <v>78</v>
      </c>
      <c r="G27" s="8" t="s">
        <v>79</v>
      </c>
      <c r="H27" s="7" t="s">
        <v>80</v>
      </c>
      <c r="I27" s="7" t="s">
        <v>899</v>
      </c>
      <c r="J27" s="7" t="s">
        <v>121</v>
      </c>
    </row>
    <row r="28" ht="22.5" customHeight="1">
      <c r="A28" s="6">
        <v>46221.46237065972</v>
      </c>
      <c r="B28" s="7" t="s">
        <v>909</v>
      </c>
      <c r="C28" s="7" t="s">
        <v>82</v>
      </c>
      <c r="D28" s="7" t="s">
        <v>916</v>
      </c>
      <c r="E28" s="7" t="s">
        <v>434</v>
      </c>
      <c r="F28" s="7" t="s">
        <v>83</v>
      </c>
      <c r="G28" s="8" t="s">
        <v>84</v>
      </c>
      <c r="H28" s="7" t="s">
        <v>23</v>
      </c>
      <c r="I28" s="7" t="s">
        <v>929</v>
      </c>
      <c r="J28" s="7" t="s">
        <v>121</v>
      </c>
    </row>
    <row r="29" ht="22.5" customHeight="1">
      <c r="A29" s="6">
        <v>46221.46497944444</v>
      </c>
      <c r="B29" s="7" t="s">
        <v>939</v>
      </c>
      <c r="C29" s="7" t="s">
        <v>86</v>
      </c>
      <c r="D29" s="7" t="s">
        <v>945</v>
      </c>
      <c r="E29" s="7" t="s">
        <v>948</v>
      </c>
      <c r="F29" s="7" t="s">
        <v>87</v>
      </c>
      <c r="G29" s="8" t="s">
        <v>88</v>
      </c>
      <c r="H29" s="7" t="s">
        <v>12</v>
      </c>
      <c r="I29" s="7" t="s">
        <v>961</v>
      </c>
      <c r="J29" s="7" t="s">
        <v>121</v>
      </c>
    </row>
    <row r="30" ht="22.5" customHeight="1">
      <c r="A30" s="6">
        <v>46221.46861226852</v>
      </c>
      <c r="B30" s="7" t="s">
        <v>969</v>
      </c>
      <c r="C30" s="7" t="s">
        <v>90</v>
      </c>
      <c r="D30" s="7" t="s">
        <v>976</v>
      </c>
      <c r="E30" s="7" t="s">
        <v>980</v>
      </c>
      <c r="F30" s="7" t="s">
        <v>91</v>
      </c>
      <c r="G30" s="8" t="s">
        <v>93</v>
      </c>
      <c r="H30" s="7" t="s">
        <v>23</v>
      </c>
      <c r="I30" s="7" t="s">
        <v>990</v>
      </c>
      <c r="J30" s="7" t="s">
        <v>121</v>
      </c>
    </row>
    <row r="31" ht="22.5" customHeight="1">
      <c r="A31" s="6">
        <v>46221.47234487269</v>
      </c>
      <c r="B31" s="7" t="s">
        <v>997</v>
      </c>
      <c r="C31" s="7" t="s">
        <v>94</v>
      </c>
      <c r="D31" s="7" t="s">
        <v>1004</v>
      </c>
      <c r="E31" s="7" t="s">
        <v>1007</v>
      </c>
      <c r="F31" s="7" t="s">
        <v>96</v>
      </c>
      <c r="G31" s="8" t="s">
        <v>97</v>
      </c>
      <c r="H31" s="7" t="s">
        <v>98</v>
      </c>
      <c r="I31" s="7" t="s">
        <v>1016</v>
      </c>
      <c r="J31" s="7" t="s">
        <v>121</v>
      </c>
    </row>
    <row r="32" ht="22.5" customHeight="1">
      <c r="A32" s="6">
        <v>46221.47293315972</v>
      </c>
      <c r="B32" s="7" t="s">
        <v>1025</v>
      </c>
      <c r="C32" s="7" t="s">
        <v>99</v>
      </c>
      <c r="D32" s="7" t="s">
        <v>1030</v>
      </c>
      <c r="E32" s="7" t="s">
        <v>1033</v>
      </c>
      <c r="F32" s="7" t="s">
        <v>100</v>
      </c>
      <c r="G32" s="8" t="s">
        <v>101</v>
      </c>
      <c r="H32" s="7" t="s">
        <v>80</v>
      </c>
      <c r="I32" s="7" t="s">
        <v>625</v>
      </c>
      <c r="J32" s="7" t="s">
        <v>121</v>
      </c>
    </row>
    <row r="33" ht="22.5" customHeight="1">
      <c r="A33" s="6">
        <v>46221.47759047453</v>
      </c>
      <c r="B33" s="7" t="s">
        <v>1052</v>
      </c>
      <c r="C33" s="7" t="s">
        <v>103</v>
      </c>
      <c r="D33" s="7" t="s">
        <v>1004</v>
      </c>
      <c r="E33" s="7" t="s">
        <v>111</v>
      </c>
      <c r="F33" s="7" t="s">
        <v>104</v>
      </c>
      <c r="G33" s="8" t="s">
        <v>105</v>
      </c>
      <c r="H33" s="7" t="s">
        <v>23</v>
      </c>
      <c r="I33" s="7" t="s">
        <v>330</v>
      </c>
      <c r="J33" s="7" t="s">
        <v>121</v>
      </c>
    </row>
    <row r="34" ht="22.5" customHeight="1">
      <c r="A34" s="6">
        <v>46221.487223993056</v>
      </c>
      <c r="B34" s="7" t="s">
        <v>1080</v>
      </c>
      <c r="C34" s="7" t="s">
        <v>106</v>
      </c>
      <c r="D34" s="7" t="s">
        <v>1087</v>
      </c>
      <c r="E34" s="7" t="s">
        <v>1091</v>
      </c>
      <c r="F34" s="7" t="s">
        <v>107</v>
      </c>
      <c r="G34" s="8" t="s">
        <v>108</v>
      </c>
      <c r="H34" s="7" t="s">
        <v>12</v>
      </c>
      <c r="I34" s="7" t="s">
        <v>1104</v>
      </c>
      <c r="J34" s="7" t="s">
        <v>121</v>
      </c>
    </row>
    <row r="35" ht="22.5" customHeight="1">
      <c r="A35" s="6">
        <v>46221.48904435185</v>
      </c>
      <c r="B35" s="7" t="s">
        <v>1113</v>
      </c>
      <c r="C35" s="7" t="s">
        <v>110</v>
      </c>
      <c r="D35" s="7" t="s">
        <v>1118</v>
      </c>
      <c r="E35" s="7" t="s">
        <v>1122</v>
      </c>
      <c r="F35" s="7" t="s">
        <v>112</v>
      </c>
      <c r="G35" s="8" t="s">
        <v>113</v>
      </c>
      <c r="H35" s="7" t="s">
        <v>12</v>
      </c>
      <c r="I35" s="7" t="s">
        <v>1134</v>
      </c>
      <c r="J35" s="7" t="s">
        <v>121</v>
      </c>
    </row>
    <row r="36" ht="22.5" customHeight="1">
      <c r="A36" s="6">
        <v>46221.496648796296</v>
      </c>
      <c r="B36" s="7" t="s">
        <v>1140</v>
      </c>
      <c r="C36" s="7" t="s">
        <v>114</v>
      </c>
      <c r="D36" s="7" t="s">
        <v>1146</v>
      </c>
      <c r="E36" s="7" t="s">
        <v>1150</v>
      </c>
      <c r="F36" s="7" t="s">
        <v>115</v>
      </c>
      <c r="G36" s="8" t="s">
        <v>116</v>
      </c>
      <c r="H36" s="7" t="s">
        <v>12</v>
      </c>
      <c r="I36" s="7" t="s">
        <v>1167</v>
      </c>
      <c r="J36" s="7" t="s">
        <v>121</v>
      </c>
    </row>
    <row r="37" ht="22.5" customHeight="1">
      <c r="A37" s="6">
        <v>46221.50309809028</v>
      </c>
      <c r="B37" s="7" t="s">
        <v>1180</v>
      </c>
      <c r="C37" s="7" t="s">
        <v>117</v>
      </c>
      <c r="D37" s="7" t="s">
        <v>1189</v>
      </c>
      <c r="E37" s="7" t="s">
        <v>1194</v>
      </c>
      <c r="F37" s="7" t="s">
        <v>119</v>
      </c>
      <c r="G37" s="8" t="s">
        <v>120</v>
      </c>
      <c r="H37" s="7" t="s">
        <v>12</v>
      </c>
      <c r="I37" s="7" t="s">
        <v>1207</v>
      </c>
      <c r="J37" s="7" t="s">
        <v>121</v>
      </c>
    </row>
    <row r="38" ht="22.5" customHeight="1">
      <c r="A38" s="6">
        <v>46221.51585497685</v>
      </c>
      <c r="B38" s="7" t="s">
        <v>1215</v>
      </c>
      <c r="C38" s="7" t="s">
        <v>122</v>
      </c>
      <c r="D38" s="7" t="s">
        <v>1221</v>
      </c>
      <c r="E38" s="7" t="s">
        <v>1222</v>
      </c>
      <c r="F38" s="7" t="s">
        <v>123</v>
      </c>
      <c r="G38" s="8" t="s">
        <v>124</v>
      </c>
      <c r="H38" s="7" t="s">
        <v>12</v>
      </c>
      <c r="I38" s="7" t="s">
        <v>1236</v>
      </c>
      <c r="J38" s="7" t="s">
        <v>121</v>
      </c>
    </row>
    <row r="39" ht="22.5" customHeight="1">
      <c r="A39" s="6">
        <v>46221.51622474537</v>
      </c>
      <c r="B39" s="7" t="s">
        <v>1240</v>
      </c>
      <c r="C39" s="7" t="s">
        <v>125</v>
      </c>
      <c r="D39" s="7" t="s">
        <v>1241</v>
      </c>
      <c r="E39" s="7" t="s">
        <v>1242</v>
      </c>
      <c r="F39" s="7" t="s">
        <v>126</v>
      </c>
      <c r="G39" s="8" t="s">
        <v>127</v>
      </c>
      <c r="H39" s="7" t="s">
        <v>12</v>
      </c>
      <c r="I39" s="7" t="s">
        <v>12</v>
      </c>
      <c r="J39" s="7" t="s">
        <v>121</v>
      </c>
    </row>
    <row r="40" ht="22.5" customHeight="1">
      <c r="A40" s="6">
        <v>46221.52213415509</v>
      </c>
      <c r="B40" s="7" t="s">
        <v>1243</v>
      </c>
      <c r="C40" s="7" t="s">
        <v>129</v>
      </c>
      <c r="D40" s="7" t="s">
        <v>1244</v>
      </c>
      <c r="E40" s="7" t="s">
        <v>1245</v>
      </c>
      <c r="F40" s="7" t="s">
        <v>130</v>
      </c>
      <c r="G40" s="8" t="s">
        <v>131</v>
      </c>
      <c r="H40" s="7" t="s">
        <v>12</v>
      </c>
      <c r="I40" s="7" t="s">
        <v>1246</v>
      </c>
      <c r="J40" s="7" t="s">
        <v>121</v>
      </c>
    </row>
    <row r="41" ht="22.5" customHeight="1">
      <c r="A41" s="6">
        <v>46221.522774791665</v>
      </c>
      <c r="B41" s="7" t="s">
        <v>1247</v>
      </c>
      <c r="C41" s="7" t="s">
        <v>132</v>
      </c>
      <c r="D41" s="7">
        <v>50.0</v>
      </c>
      <c r="E41" s="7" t="s">
        <v>1248</v>
      </c>
      <c r="F41" s="7" t="s">
        <v>133</v>
      </c>
      <c r="G41" s="8" t="s">
        <v>134</v>
      </c>
      <c r="H41" s="7" t="s">
        <v>23</v>
      </c>
      <c r="I41" s="7" t="s">
        <v>1249</v>
      </c>
      <c r="J41" s="7" t="s">
        <v>121</v>
      </c>
    </row>
    <row r="42" ht="22.5" customHeight="1">
      <c r="A42" s="6">
        <v>46221.526003935185</v>
      </c>
      <c r="B42" s="7" t="s">
        <v>1250</v>
      </c>
      <c r="C42" s="7" t="s">
        <v>135</v>
      </c>
      <c r="D42" s="7" t="s">
        <v>1251</v>
      </c>
      <c r="E42" s="7" t="s">
        <v>1252</v>
      </c>
      <c r="F42" s="7" t="s">
        <v>137</v>
      </c>
      <c r="G42" s="8" t="s">
        <v>138</v>
      </c>
      <c r="H42" s="7" t="s">
        <v>23</v>
      </c>
      <c r="I42" s="7" t="s">
        <v>1253</v>
      </c>
      <c r="J42" s="7" t="s">
        <v>121</v>
      </c>
    </row>
    <row r="43" ht="22.5" customHeight="1">
      <c r="A43" s="6">
        <v>46221.52983832176</v>
      </c>
      <c r="B43" s="7" t="s">
        <v>1254</v>
      </c>
      <c r="C43" s="7" t="s">
        <v>139</v>
      </c>
      <c r="D43" s="7" t="s">
        <v>1255</v>
      </c>
      <c r="E43" s="7" t="s">
        <v>111</v>
      </c>
      <c r="F43" s="7" t="s">
        <v>140</v>
      </c>
      <c r="G43" s="8" t="s">
        <v>141</v>
      </c>
      <c r="H43" s="7" t="s">
        <v>12</v>
      </c>
      <c r="I43" s="7" t="s">
        <v>1256</v>
      </c>
      <c r="J43" s="7" t="s">
        <v>121</v>
      </c>
    </row>
    <row r="44" ht="22.5" customHeight="1">
      <c r="A44" s="6">
        <v>46221.53527729167</v>
      </c>
      <c r="B44" s="7" t="s">
        <v>1257</v>
      </c>
      <c r="C44" s="7" t="s">
        <v>142</v>
      </c>
      <c r="D44" s="7" t="s">
        <v>1258</v>
      </c>
      <c r="E44" s="7" t="s">
        <v>1242</v>
      </c>
      <c r="F44" s="7" t="s">
        <v>143</v>
      </c>
      <c r="G44" s="8" t="s">
        <v>144</v>
      </c>
      <c r="H44" s="7" t="s">
        <v>98</v>
      </c>
      <c r="I44" s="7" t="s">
        <v>1259</v>
      </c>
      <c r="J44" s="7" t="s">
        <v>121</v>
      </c>
    </row>
    <row r="45" ht="22.5" customHeight="1">
      <c r="A45" s="6">
        <v>46221.53712447917</v>
      </c>
      <c r="B45" s="7" t="s">
        <v>1260</v>
      </c>
      <c r="C45" s="7" t="s">
        <v>145</v>
      </c>
      <c r="D45" s="7" t="s">
        <v>1261</v>
      </c>
      <c r="E45" s="7" t="s">
        <v>1262</v>
      </c>
      <c r="F45" s="7" t="s">
        <v>146</v>
      </c>
      <c r="G45" s="8" t="s">
        <v>147</v>
      </c>
      <c r="H45" s="7" t="s">
        <v>23</v>
      </c>
      <c r="I45" s="7" t="s">
        <v>1263</v>
      </c>
      <c r="J45" s="7" t="s">
        <v>121</v>
      </c>
    </row>
    <row r="46" ht="22.5" customHeight="1">
      <c r="A46" s="6">
        <v>46221.54278686343</v>
      </c>
      <c r="B46" s="7" t="s">
        <v>1264</v>
      </c>
      <c r="C46" s="7" t="s">
        <v>148</v>
      </c>
      <c r="D46" s="7" t="s">
        <v>1265</v>
      </c>
      <c r="E46" s="7" t="s">
        <v>1266</v>
      </c>
      <c r="F46" s="7" t="s">
        <v>149</v>
      </c>
      <c r="G46" s="8" t="s">
        <v>150</v>
      </c>
      <c r="H46" s="7" t="s">
        <v>98</v>
      </c>
      <c r="I46" s="7" t="s">
        <v>1267</v>
      </c>
      <c r="J46" s="7" t="s">
        <v>121</v>
      </c>
    </row>
    <row r="47" ht="22.5" customHeight="1">
      <c r="A47" s="6">
        <v>46221.56131472222</v>
      </c>
      <c r="B47" s="7" t="s">
        <v>1268</v>
      </c>
      <c r="C47" s="7" t="s">
        <v>151</v>
      </c>
      <c r="D47" s="7" t="s">
        <v>1269</v>
      </c>
      <c r="E47" s="7" t="s">
        <v>1270</v>
      </c>
      <c r="F47" s="7" t="s">
        <v>152</v>
      </c>
      <c r="G47" s="7" t="s">
        <v>154</v>
      </c>
      <c r="H47" s="7" t="s">
        <v>12</v>
      </c>
      <c r="I47" s="7" t="s">
        <v>1271</v>
      </c>
      <c r="J47" s="7" t="s">
        <v>121</v>
      </c>
    </row>
    <row r="48" ht="22.5" customHeight="1">
      <c r="A48" s="6">
        <v>46221.57206268518</v>
      </c>
      <c r="B48" s="7" t="s">
        <v>1272</v>
      </c>
      <c r="C48" s="7" t="s">
        <v>155</v>
      </c>
      <c r="D48" s="7" t="s">
        <v>1273</v>
      </c>
      <c r="E48" s="7" t="s">
        <v>1274</v>
      </c>
      <c r="F48" s="7" t="s">
        <v>156</v>
      </c>
      <c r="G48" s="8" t="s">
        <v>157</v>
      </c>
      <c r="H48" s="7" t="s">
        <v>8</v>
      </c>
      <c r="I48" s="7" t="s">
        <v>1275</v>
      </c>
      <c r="J48" s="7" t="s">
        <v>121</v>
      </c>
    </row>
    <row r="49" ht="22.5" customHeight="1">
      <c r="A49" s="6">
        <v>46221.58647900463</v>
      </c>
      <c r="B49" s="7" t="s">
        <v>1276</v>
      </c>
      <c r="C49" s="7" t="s">
        <v>1277</v>
      </c>
      <c r="D49" s="7" t="s">
        <v>1278</v>
      </c>
      <c r="E49" s="7" t="s">
        <v>1279</v>
      </c>
      <c r="F49" s="7" t="s">
        <v>1280</v>
      </c>
      <c r="G49" s="8" t="s">
        <v>1281</v>
      </c>
      <c r="H49" s="7" t="s">
        <v>23</v>
      </c>
      <c r="I49" s="7" t="s">
        <v>1282</v>
      </c>
      <c r="J49" s="7" t="s">
        <v>95</v>
      </c>
    </row>
    <row r="50" ht="22.5" customHeight="1">
      <c r="A50" s="6">
        <v>46221.58845797453</v>
      </c>
      <c r="B50" s="7" t="s">
        <v>1283</v>
      </c>
      <c r="C50" s="7" t="s">
        <v>158</v>
      </c>
      <c r="D50" s="7" t="s">
        <v>1284</v>
      </c>
      <c r="E50" s="7" t="s">
        <v>1285</v>
      </c>
      <c r="F50" s="7" t="s">
        <v>159</v>
      </c>
      <c r="G50" s="8" t="s">
        <v>160</v>
      </c>
      <c r="H50" s="7" t="s">
        <v>23</v>
      </c>
      <c r="I50" s="7" t="s">
        <v>330</v>
      </c>
      <c r="J50" s="7" t="s">
        <v>121</v>
      </c>
    </row>
    <row r="51" ht="22.5" customHeight="1">
      <c r="A51" s="6">
        <v>46221.592261516205</v>
      </c>
      <c r="B51" s="7" t="s">
        <v>1286</v>
      </c>
      <c r="C51" s="7" t="s">
        <v>161</v>
      </c>
      <c r="D51" s="7" t="s">
        <v>1287</v>
      </c>
      <c r="E51" s="7" t="s">
        <v>1288</v>
      </c>
      <c r="F51" s="7" t="s">
        <v>162</v>
      </c>
      <c r="G51" s="8" t="s">
        <v>163</v>
      </c>
      <c r="H51" s="7" t="s">
        <v>23</v>
      </c>
      <c r="I51" s="7" t="s">
        <v>1289</v>
      </c>
      <c r="J51" s="7" t="s">
        <v>121</v>
      </c>
    </row>
    <row r="52" ht="22.5" customHeight="1">
      <c r="A52" s="9">
        <v>46221.60001652778</v>
      </c>
      <c r="B52" s="10" t="s">
        <v>1290</v>
      </c>
      <c r="C52" s="10" t="s">
        <v>164</v>
      </c>
      <c r="D52" s="10" t="s">
        <v>1291</v>
      </c>
      <c r="E52" s="10" t="s">
        <v>1292</v>
      </c>
      <c r="F52" s="10" t="s">
        <v>165</v>
      </c>
      <c r="G52" s="11" t="s">
        <v>167</v>
      </c>
      <c r="H52" s="10" t="s">
        <v>23</v>
      </c>
      <c r="I52" s="10" t="s">
        <v>1293</v>
      </c>
      <c r="J52" s="7" t="s">
        <v>121</v>
      </c>
    </row>
    <row r="53" ht="22.5" customHeight="1">
      <c r="A53" s="9">
        <v>46221.6263234375</v>
      </c>
      <c r="B53" s="10" t="s">
        <v>1294</v>
      </c>
      <c r="C53" s="10" t="s">
        <v>168</v>
      </c>
      <c r="D53" s="10" t="s">
        <v>1295</v>
      </c>
      <c r="E53" s="10" t="s">
        <v>1296</v>
      </c>
      <c r="F53" s="10" t="s">
        <v>169</v>
      </c>
      <c r="G53" s="11" t="s">
        <v>170</v>
      </c>
      <c r="H53" s="10" t="s">
        <v>8</v>
      </c>
      <c r="I53" s="10" t="s">
        <v>358</v>
      </c>
      <c r="J53" s="7" t="s">
        <v>121</v>
      </c>
    </row>
    <row r="54" ht="22.5" customHeight="1">
      <c r="A54" s="9">
        <v>46221.64227574074</v>
      </c>
      <c r="B54" s="10" t="s">
        <v>1297</v>
      </c>
      <c r="C54" s="10" t="s">
        <v>172</v>
      </c>
      <c r="D54" s="10" t="s">
        <v>1298</v>
      </c>
      <c r="E54" s="10" t="s">
        <v>1299</v>
      </c>
      <c r="F54" s="10" t="s">
        <v>173</v>
      </c>
      <c r="G54" s="11" t="s">
        <v>174</v>
      </c>
      <c r="H54" s="10" t="s">
        <v>12</v>
      </c>
      <c r="I54" s="10" t="s">
        <v>1300</v>
      </c>
      <c r="J54" s="7" t="s">
        <v>121</v>
      </c>
    </row>
    <row r="55" ht="22.5" customHeight="1">
      <c r="A55" s="9">
        <v>46221.649741851856</v>
      </c>
      <c r="B55" s="10" t="s">
        <v>1301</v>
      </c>
      <c r="C55" s="10" t="s">
        <v>175</v>
      </c>
      <c r="D55" s="10" t="s">
        <v>1302</v>
      </c>
      <c r="E55" s="10" t="s">
        <v>111</v>
      </c>
      <c r="F55" s="10" t="s">
        <v>176</v>
      </c>
      <c r="G55" s="11" t="s">
        <v>177</v>
      </c>
      <c r="H55" s="10" t="s">
        <v>23</v>
      </c>
      <c r="I55" s="10" t="s">
        <v>1303</v>
      </c>
      <c r="J55" s="7" t="s">
        <v>121</v>
      </c>
    </row>
    <row r="56" ht="22.5" customHeight="1">
      <c r="A56" s="9">
        <v>46221.660286666665</v>
      </c>
      <c r="B56" s="10" t="s">
        <v>1304</v>
      </c>
      <c r="C56" s="10" t="s">
        <v>178</v>
      </c>
      <c r="D56" s="10" t="s">
        <v>1305</v>
      </c>
      <c r="E56" s="10" t="s">
        <v>1306</v>
      </c>
      <c r="F56" s="10" t="s">
        <v>180</v>
      </c>
      <c r="G56" s="11" t="s">
        <v>181</v>
      </c>
      <c r="H56" s="10" t="s">
        <v>12</v>
      </c>
      <c r="I56" s="10" t="s">
        <v>1307</v>
      </c>
      <c r="J56" s="7" t="s">
        <v>121</v>
      </c>
    </row>
    <row r="57" ht="22.5" customHeight="1">
      <c r="A57" s="9">
        <v>46221.665832060185</v>
      </c>
      <c r="B57" s="10" t="s">
        <v>1308</v>
      </c>
      <c r="C57" s="10" t="s">
        <v>182</v>
      </c>
      <c r="D57" s="10" t="s">
        <v>1309</v>
      </c>
      <c r="E57" s="10" t="s">
        <v>1310</v>
      </c>
      <c r="F57" s="10" t="s">
        <v>183</v>
      </c>
      <c r="G57" s="11" t="s">
        <v>185</v>
      </c>
      <c r="H57" s="10" t="s">
        <v>12</v>
      </c>
      <c r="I57" s="10" t="s">
        <v>1311</v>
      </c>
      <c r="J57" s="7" t="s">
        <v>121</v>
      </c>
    </row>
    <row r="58" ht="22.5" customHeight="1">
      <c r="A58" s="9">
        <v>46221.666633518515</v>
      </c>
      <c r="B58" s="10" t="s">
        <v>1312</v>
      </c>
      <c r="C58" s="10" t="s">
        <v>186</v>
      </c>
      <c r="D58" s="10" t="s">
        <v>1313</v>
      </c>
      <c r="E58" s="10" t="s">
        <v>1314</v>
      </c>
      <c r="F58" s="10" t="s">
        <v>187</v>
      </c>
      <c r="G58" s="11" t="s">
        <v>188</v>
      </c>
      <c r="H58" s="10" t="s">
        <v>23</v>
      </c>
      <c r="I58" s="10" t="s">
        <v>1315</v>
      </c>
      <c r="J58" s="7" t="s">
        <v>121</v>
      </c>
    </row>
    <row r="59" ht="22.5" customHeight="1">
      <c r="A59" s="9">
        <v>46221.66682378472</v>
      </c>
      <c r="B59" s="10" t="s">
        <v>1316</v>
      </c>
      <c r="C59" s="10" t="s">
        <v>189</v>
      </c>
      <c r="D59" s="10" t="s">
        <v>1317</v>
      </c>
      <c r="E59" s="10" t="s">
        <v>1318</v>
      </c>
      <c r="F59" s="10" t="s">
        <v>190</v>
      </c>
      <c r="G59" s="11" t="s">
        <v>191</v>
      </c>
      <c r="H59" s="10" t="s">
        <v>12</v>
      </c>
      <c r="I59" s="10" t="s">
        <v>1319</v>
      </c>
      <c r="J59" s="7" t="s">
        <v>121</v>
      </c>
    </row>
    <row r="60" ht="22.5" customHeight="1">
      <c r="A60" s="9">
        <v>46221.667179282405</v>
      </c>
      <c r="B60" s="10" t="s">
        <v>1320</v>
      </c>
      <c r="C60" s="10" t="s">
        <v>192</v>
      </c>
      <c r="D60" s="10" t="s">
        <v>1321</v>
      </c>
      <c r="E60" s="10" t="s">
        <v>1322</v>
      </c>
      <c r="F60" s="10" t="s">
        <v>193</v>
      </c>
      <c r="G60" s="11" t="s">
        <v>194</v>
      </c>
      <c r="H60" s="10" t="s">
        <v>195</v>
      </c>
      <c r="I60" s="10" t="s">
        <v>678</v>
      </c>
      <c r="J60" s="7" t="s">
        <v>121</v>
      </c>
    </row>
    <row r="61" ht="22.5" customHeight="1">
      <c r="A61" s="9">
        <v>46221.675435428246</v>
      </c>
      <c r="B61" s="10" t="s">
        <v>1323</v>
      </c>
      <c r="C61" s="10" t="s">
        <v>197</v>
      </c>
      <c r="D61" s="10">
        <v>49.0</v>
      </c>
      <c r="E61" s="10" t="s">
        <v>1324</v>
      </c>
      <c r="F61" s="10" t="s">
        <v>198</v>
      </c>
      <c r="G61" s="11" t="s">
        <v>199</v>
      </c>
      <c r="H61" s="10" t="s">
        <v>12</v>
      </c>
      <c r="I61" s="10" t="s">
        <v>513</v>
      </c>
      <c r="J61" s="7" t="s">
        <v>121</v>
      </c>
    </row>
    <row r="62" ht="22.5" customHeight="1">
      <c r="A62" s="9">
        <v>46221.67669767361</v>
      </c>
      <c r="B62" s="10" t="s">
        <v>1325</v>
      </c>
      <c r="C62" s="10" t="s">
        <v>200</v>
      </c>
      <c r="D62" s="10" t="s">
        <v>1326</v>
      </c>
      <c r="E62" s="10" t="s">
        <v>1327</v>
      </c>
      <c r="F62" s="10" t="s">
        <v>201</v>
      </c>
      <c r="G62" s="11" t="s">
        <v>202</v>
      </c>
      <c r="H62" s="10" t="s">
        <v>8</v>
      </c>
      <c r="I62" s="10" t="s">
        <v>1328</v>
      </c>
      <c r="J62" s="7" t="s">
        <v>121</v>
      </c>
    </row>
    <row r="63" ht="22.5" customHeight="1">
      <c r="A63" s="9">
        <v>46221.677570914355</v>
      </c>
      <c r="B63" s="10" t="s">
        <v>1329</v>
      </c>
      <c r="C63" s="10" t="s">
        <v>204</v>
      </c>
      <c r="D63" s="10">
        <v>49.0</v>
      </c>
      <c r="E63" s="10" t="s">
        <v>1330</v>
      </c>
      <c r="F63" s="10" t="s">
        <v>205</v>
      </c>
      <c r="G63" s="11" t="s">
        <v>206</v>
      </c>
      <c r="H63" s="10" t="s">
        <v>8</v>
      </c>
      <c r="I63" s="10" t="s">
        <v>1331</v>
      </c>
      <c r="J63" s="7" t="s">
        <v>121</v>
      </c>
    </row>
    <row r="64" ht="22.5" customHeight="1">
      <c r="A64" s="9">
        <v>46221.68897682871</v>
      </c>
      <c r="B64" s="10" t="s">
        <v>1332</v>
      </c>
      <c r="C64" s="10" t="s">
        <v>207</v>
      </c>
      <c r="D64" s="10" t="s">
        <v>1333</v>
      </c>
      <c r="E64" s="10" t="s">
        <v>1334</v>
      </c>
      <c r="F64" s="10" t="s">
        <v>208</v>
      </c>
      <c r="G64" s="10" t="s">
        <v>210</v>
      </c>
      <c r="H64" s="10" t="s">
        <v>12</v>
      </c>
      <c r="I64" s="10" t="s">
        <v>1335</v>
      </c>
      <c r="J64" s="7" t="s">
        <v>121</v>
      </c>
    </row>
    <row r="65" ht="22.5" customHeight="1">
      <c r="A65" s="9">
        <v>46221.6894212037</v>
      </c>
      <c r="B65" s="10" t="s">
        <v>1336</v>
      </c>
      <c r="C65" s="10" t="s">
        <v>211</v>
      </c>
      <c r="D65" s="10" t="s">
        <v>1337</v>
      </c>
      <c r="E65" s="10" t="s">
        <v>1122</v>
      </c>
      <c r="F65" s="10" t="s">
        <v>213</v>
      </c>
      <c r="G65" s="11" t="s">
        <v>214</v>
      </c>
      <c r="H65" s="10" t="s">
        <v>12</v>
      </c>
      <c r="I65" s="10" t="s">
        <v>1338</v>
      </c>
      <c r="J65" s="7" t="s">
        <v>121</v>
      </c>
    </row>
    <row r="66" ht="22.5" customHeight="1">
      <c r="A66" s="9">
        <v>46221.69303096065</v>
      </c>
      <c r="B66" s="10" t="s">
        <v>1339</v>
      </c>
      <c r="C66" s="10" t="s">
        <v>215</v>
      </c>
      <c r="D66" s="10" t="s">
        <v>1340</v>
      </c>
      <c r="E66" s="10" t="s">
        <v>1341</v>
      </c>
      <c r="F66" s="10" t="s">
        <v>216</v>
      </c>
      <c r="G66" s="11" t="s">
        <v>217</v>
      </c>
      <c r="H66" s="10" t="s">
        <v>23</v>
      </c>
      <c r="I66" s="10" t="s">
        <v>1342</v>
      </c>
      <c r="J66" s="7" t="s">
        <v>121</v>
      </c>
    </row>
    <row r="67" ht="22.5" customHeight="1">
      <c r="A67" s="9">
        <v>46221.6978578125</v>
      </c>
      <c r="B67" s="10" t="s">
        <v>1343</v>
      </c>
      <c r="C67" s="10" t="s">
        <v>218</v>
      </c>
      <c r="D67" s="10" t="s">
        <v>1344</v>
      </c>
      <c r="E67" s="10" t="s">
        <v>1345</v>
      </c>
      <c r="F67" s="10" t="s">
        <v>219</v>
      </c>
      <c r="G67" s="11" t="s">
        <v>220</v>
      </c>
      <c r="H67" s="10" t="s">
        <v>8</v>
      </c>
      <c r="I67" s="10" t="s">
        <v>1346</v>
      </c>
      <c r="J67" s="7" t="s">
        <v>121</v>
      </c>
    </row>
    <row r="68" ht="22.5" customHeight="1">
      <c r="A68" s="9">
        <v>46221.69858697917</v>
      </c>
      <c r="B68" s="10" t="s">
        <v>1347</v>
      </c>
      <c r="C68" s="10" t="s">
        <v>1348</v>
      </c>
      <c r="D68" s="10">
        <v>51.0</v>
      </c>
      <c r="E68" s="10" t="s">
        <v>1349</v>
      </c>
      <c r="F68" s="10" t="s">
        <v>1350</v>
      </c>
      <c r="G68" s="11" t="s">
        <v>1351</v>
      </c>
      <c r="H68" s="10" t="s">
        <v>12</v>
      </c>
      <c r="I68" s="10" t="s">
        <v>1352</v>
      </c>
      <c r="J68" s="7" t="s">
        <v>95</v>
      </c>
    </row>
    <row r="69" ht="22.5" customHeight="1">
      <c r="A69" s="9">
        <v>46221.69995825231</v>
      </c>
      <c r="B69" s="10" t="s">
        <v>1353</v>
      </c>
      <c r="C69" s="10" t="s">
        <v>221</v>
      </c>
      <c r="D69" s="10" t="s">
        <v>1354</v>
      </c>
      <c r="E69" s="10" t="s">
        <v>1355</v>
      </c>
      <c r="F69" s="10" t="s">
        <v>222</v>
      </c>
      <c r="G69" s="11" t="s">
        <v>223</v>
      </c>
      <c r="H69" s="10" t="s">
        <v>8</v>
      </c>
      <c r="I69" s="10" t="s">
        <v>1356</v>
      </c>
      <c r="J69" s="7" t="s">
        <v>121</v>
      </c>
    </row>
    <row r="70" ht="22.5" customHeight="1">
      <c r="A70" s="9">
        <v>46221.70732454861</v>
      </c>
      <c r="B70" s="10" t="s">
        <v>1357</v>
      </c>
      <c r="C70" s="10" t="s">
        <v>225</v>
      </c>
      <c r="D70" s="10" t="s">
        <v>1358</v>
      </c>
      <c r="E70" s="10" t="s">
        <v>1359</v>
      </c>
      <c r="F70" s="10" t="s">
        <v>226</v>
      </c>
      <c r="G70" s="11" t="s">
        <v>227</v>
      </c>
      <c r="H70" s="10" t="s">
        <v>80</v>
      </c>
      <c r="I70" s="10" t="s">
        <v>1360</v>
      </c>
      <c r="J70" s="7" t="s">
        <v>121</v>
      </c>
    </row>
    <row r="71" ht="22.5" customHeight="1">
      <c r="A71" s="9">
        <v>46221.70815839121</v>
      </c>
      <c r="B71" s="10" t="s">
        <v>1361</v>
      </c>
      <c r="C71" s="10" t="s">
        <v>228</v>
      </c>
      <c r="D71" s="10" t="s">
        <v>1362</v>
      </c>
      <c r="E71" s="10" t="s">
        <v>1363</v>
      </c>
      <c r="F71" s="10" t="s">
        <v>229</v>
      </c>
      <c r="G71" s="11" t="s">
        <v>230</v>
      </c>
      <c r="H71" s="10" t="s">
        <v>12</v>
      </c>
      <c r="I71" s="10" t="s">
        <v>1360</v>
      </c>
      <c r="J71" s="7" t="s">
        <v>121</v>
      </c>
    </row>
    <row r="72" ht="22.5" customHeight="1">
      <c r="A72" s="9">
        <v>46221.70823059027</v>
      </c>
      <c r="B72" s="10" t="s">
        <v>1364</v>
      </c>
      <c r="C72" s="10" t="s">
        <v>232</v>
      </c>
      <c r="D72" s="10" t="s">
        <v>1365</v>
      </c>
      <c r="E72" s="10" t="s">
        <v>1262</v>
      </c>
      <c r="F72" s="10" t="s">
        <v>233</v>
      </c>
      <c r="G72" s="11" t="s">
        <v>234</v>
      </c>
      <c r="H72" s="10" t="s">
        <v>23</v>
      </c>
      <c r="I72" s="10" t="s">
        <v>1366</v>
      </c>
      <c r="J72" s="7" t="s">
        <v>121</v>
      </c>
    </row>
    <row r="73" ht="22.5" customHeight="1">
      <c r="A73" s="9">
        <v>46221.712423993056</v>
      </c>
      <c r="B73" s="10" t="s">
        <v>1367</v>
      </c>
      <c r="C73" s="10" t="s">
        <v>235</v>
      </c>
      <c r="D73" s="10" t="s">
        <v>1368</v>
      </c>
      <c r="E73" s="10" t="s">
        <v>1270</v>
      </c>
      <c r="F73" s="10" t="s">
        <v>236</v>
      </c>
      <c r="G73" s="11" t="s">
        <v>237</v>
      </c>
      <c r="H73" s="10" t="s">
        <v>23</v>
      </c>
      <c r="I73" s="10" t="s">
        <v>1369</v>
      </c>
      <c r="J73" s="7" t="s">
        <v>121</v>
      </c>
    </row>
    <row r="74" ht="22.5" customHeight="1">
      <c r="A74" s="9">
        <v>46221.71323037037</v>
      </c>
      <c r="B74" s="10" t="s">
        <v>1370</v>
      </c>
      <c r="C74" s="10" t="s">
        <v>239</v>
      </c>
      <c r="D74" s="10" t="s">
        <v>1371</v>
      </c>
      <c r="E74" s="10" t="s">
        <v>1122</v>
      </c>
      <c r="F74" s="10" t="s">
        <v>240</v>
      </c>
      <c r="G74" s="11" t="s">
        <v>241</v>
      </c>
      <c r="H74" s="10" t="s">
        <v>242</v>
      </c>
      <c r="I74" s="10" t="s">
        <v>1372</v>
      </c>
      <c r="J74" s="7" t="s">
        <v>121</v>
      </c>
    </row>
    <row r="75" ht="22.5" customHeight="1">
      <c r="A75" s="9">
        <v>46221.72118586805</v>
      </c>
      <c r="B75" s="10">
        <v>55.0</v>
      </c>
      <c r="C75" s="10" t="s">
        <v>1373</v>
      </c>
      <c r="D75" s="10" t="s">
        <v>1374</v>
      </c>
      <c r="E75" s="10" t="s">
        <v>1327</v>
      </c>
      <c r="F75" s="10" t="s">
        <v>1375</v>
      </c>
      <c r="G75" s="11" t="s">
        <v>1376</v>
      </c>
      <c r="H75" s="10" t="s">
        <v>12</v>
      </c>
      <c r="I75" s="10" t="s">
        <v>1377</v>
      </c>
      <c r="J75" s="7" t="s">
        <v>95</v>
      </c>
    </row>
    <row r="76" ht="22.5" customHeight="1">
      <c r="A76" s="9">
        <v>46221.72201395834</v>
      </c>
      <c r="B76" s="10" t="s">
        <v>1378</v>
      </c>
      <c r="C76" s="10" t="s">
        <v>244</v>
      </c>
      <c r="D76" s="10" t="s">
        <v>1379</v>
      </c>
      <c r="E76" s="10" t="s">
        <v>1380</v>
      </c>
      <c r="F76" s="10" t="s">
        <v>245</v>
      </c>
      <c r="G76" s="11" t="s">
        <v>246</v>
      </c>
      <c r="H76" s="10" t="s">
        <v>23</v>
      </c>
      <c r="I76" s="10" t="s">
        <v>1382</v>
      </c>
      <c r="J76" s="7" t="s">
        <v>121</v>
      </c>
    </row>
    <row r="77" ht="22.5" customHeight="1">
      <c r="A77" s="9">
        <v>46221.72258434028</v>
      </c>
      <c r="B77" s="10" t="s">
        <v>1383</v>
      </c>
      <c r="C77" s="10" t="s">
        <v>247</v>
      </c>
      <c r="D77" s="10" t="s">
        <v>1384</v>
      </c>
      <c r="E77" s="10" t="s">
        <v>1385</v>
      </c>
      <c r="F77" s="10" t="s">
        <v>248</v>
      </c>
      <c r="G77" s="11" t="s">
        <v>249</v>
      </c>
      <c r="H77" s="10" t="s">
        <v>8</v>
      </c>
      <c r="I77" s="10" t="s">
        <v>1386</v>
      </c>
      <c r="J77" s="7" t="s">
        <v>121</v>
      </c>
    </row>
    <row r="78" ht="22.5" customHeight="1">
      <c r="A78" s="9">
        <v>46221.72338541667</v>
      </c>
      <c r="B78" s="10" t="s">
        <v>1387</v>
      </c>
      <c r="C78" s="10" t="s">
        <v>250</v>
      </c>
      <c r="D78" s="10" t="s">
        <v>1388</v>
      </c>
      <c r="E78" s="10" t="s">
        <v>1122</v>
      </c>
      <c r="F78" s="10" t="s">
        <v>251</v>
      </c>
      <c r="G78" s="11" t="s">
        <v>252</v>
      </c>
      <c r="H78" s="10" t="s">
        <v>12</v>
      </c>
      <c r="I78" s="10" t="s">
        <v>1389</v>
      </c>
      <c r="J78" s="7" t="s">
        <v>121</v>
      </c>
    </row>
    <row r="79" ht="22.5" customHeight="1">
      <c r="A79" s="9">
        <v>46221.73653100694</v>
      </c>
      <c r="B79" s="10" t="s">
        <v>1390</v>
      </c>
      <c r="C79" s="10" t="s">
        <v>253</v>
      </c>
      <c r="D79" s="10" t="s">
        <v>296</v>
      </c>
      <c r="E79" s="10" t="s">
        <v>1391</v>
      </c>
      <c r="F79" s="10" t="s">
        <v>254</v>
      </c>
      <c r="G79" s="11" t="s">
        <v>256</v>
      </c>
      <c r="H79" s="10" t="s">
        <v>23</v>
      </c>
      <c r="I79" s="10" t="s">
        <v>1392</v>
      </c>
      <c r="J79" s="7" t="s">
        <v>121</v>
      </c>
    </row>
    <row r="80" ht="22.5" customHeight="1">
      <c r="A80" s="9">
        <v>46221.756343761575</v>
      </c>
      <c r="B80" s="10" t="s">
        <v>1393</v>
      </c>
      <c r="C80" s="10" t="s">
        <v>257</v>
      </c>
      <c r="D80" s="10" t="s">
        <v>1394</v>
      </c>
      <c r="E80" s="10" t="s">
        <v>374</v>
      </c>
      <c r="F80" s="10" t="s">
        <v>258</v>
      </c>
      <c r="G80" s="11" t="s">
        <v>259</v>
      </c>
      <c r="H80" s="10" t="s">
        <v>23</v>
      </c>
      <c r="I80" s="10" t="s">
        <v>1395</v>
      </c>
      <c r="J80" s="7" t="s">
        <v>121</v>
      </c>
    </row>
    <row r="81" ht="22.5" customHeight="1">
      <c r="A81" s="9">
        <v>46221.75660277778</v>
      </c>
      <c r="B81" s="10" t="s">
        <v>1396</v>
      </c>
      <c r="C81" s="10" t="s">
        <v>1397</v>
      </c>
      <c r="D81" s="10" t="s">
        <v>1360</v>
      </c>
      <c r="E81" s="10" t="s">
        <v>1360</v>
      </c>
      <c r="F81" s="10" t="s">
        <v>1398</v>
      </c>
      <c r="G81" s="11" t="s">
        <v>1399</v>
      </c>
      <c r="H81" s="10" t="s">
        <v>23</v>
      </c>
      <c r="I81" s="10" t="s">
        <v>1400</v>
      </c>
      <c r="J81" s="7" t="s">
        <v>95</v>
      </c>
    </row>
    <row r="82" ht="22.5" customHeight="1">
      <c r="A82" s="9">
        <v>46221.76289064815</v>
      </c>
      <c r="B82" s="10" t="s">
        <v>1401</v>
      </c>
      <c r="C82" s="10" t="s">
        <v>260</v>
      </c>
      <c r="D82" s="10" t="s">
        <v>1402</v>
      </c>
      <c r="E82" s="10" t="s">
        <v>111</v>
      </c>
      <c r="F82" s="10" t="s">
        <v>261</v>
      </c>
      <c r="G82" s="11" t="s">
        <v>262</v>
      </c>
      <c r="H82" s="10" t="s">
        <v>12</v>
      </c>
      <c r="I82" s="10" t="s">
        <v>625</v>
      </c>
      <c r="J82" s="7" t="s">
        <v>121</v>
      </c>
    </row>
    <row r="83" ht="22.5" customHeight="1">
      <c r="A83" s="9">
        <v>46221.78017601852</v>
      </c>
      <c r="B83" s="10" t="s">
        <v>1403</v>
      </c>
      <c r="C83" s="10" t="s">
        <v>264</v>
      </c>
      <c r="D83" s="10" t="s">
        <v>296</v>
      </c>
      <c r="E83" s="10" t="s">
        <v>1404</v>
      </c>
      <c r="F83" s="10" t="s">
        <v>265</v>
      </c>
      <c r="G83" s="11" t="s">
        <v>266</v>
      </c>
      <c r="H83" s="10" t="s">
        <v>12</v>
      </c>
      <c r="I83" s="10" t="s">
        <v>1405</v>
      </c>
      <c r="J83" s="7" t="s">
        <v>121</v>
      </c>
    </row>
    <row r="84" ht="22.5" customHeight="1">
      <c r="A84" s="9">
        <v>46221.795538148144</v>
      </c>
      <c r="B84" s="10" t="s">
        <v>1406</v>
      </c>
      <c r="C84" s="10" t="s">
        <v>267</v>
      </c>
      <c r="D84" s="10" t="s">
        <v>1407</v>
      </c>
      <c r="E84" s="10" t="s">
        <v>806</v>
      </c>
      <c r="F84" s="10" t="s">
        <v>268</v>
      </c>
      <c r="G84" s="11" t="s">
        <v>269</v>
      </c>
      <c r="H84" s="10" t="s">
        <v>12</v>
      </c>
      <c r="I84" s="10" t="s">
        <v>1408</v>
      </c>
      <c r="J84" s="7" t="s">
        <v>121</v>
      </c>
    </row>
    <row r="85" ht="22.5" customHeight="1">
      <c r="A85" s="9">
        <v>46221.79565997685</v>
      </c>
      <c r="B85" s="10" t="s">
        <v>1409</v>
      </c>
      <c r="C85" s="10" t="s">
        <v>271</v>
      </c>
      <c r="D85" s="10" t="s">
        <v>1410</v>
      </c>
      <c r="E85" s="10" t="s">
        <v>1411</v>
      </c>
      <c r="F85" s="10" t="s">
        <v>272</v>
      </c>
      <c r="G85" s="11" t="s">
        <v>273</v>
      </c>
      <c r="H85" s="10" t="s">
        <v>23</v>
      </c>
      <c r="I85" s="10" t="s">
        <v>1352</v>
      </c>
      <c r="J85" s="7" t="s">
        <v>121</v>
      </c>
    </row>
    <row r="86" ht="22.5" customHeight="1">
      <c r="A86" s="9">
        <v>46221.797890092595</v>
      </c>
      <c r="B86" s="10" t="s">
        <v>1412</v>
      </c>
      <c r="C86" s="10" t="s">
        <v>275</v>
      </c>
      <c r="D86" s="10" t="s">
        <v>1413</v>
      </c>
      <c r="E86" s="10" t="s">
        <v>1414</v>
      </c>
      <c r="F86" s="10" t="s">
        <v>276</v>
      </c>
      <c r="G86" s="11" t="s">
        <v>277</v>
      </c>
      <c r="H86" s="10" t="s">
        <v>23</v>
      </c>
      <c r="I86" s="10" t="s">
        <v>1415</v>
      </c>
      <c r="J86" s="7" t="s">
        <v>121</v>
      </c>
    </row>
    <row r="87" ht="22.5" customHeight="1">
      <c r="A87" s="9">
        <v>46221.797902245366</v>
      </c>
      <c r="B87" s="10" t="s">
        <v>1416</v>
      </c>
      <c r="C87" s="10" t="s">
        <v>278</v>
      </c>
      <c r="D87" s="10" t="s">
        <v>1417</v>
      </c>
      <c r="E87" s="10" t="s">
        <v>1418</v>
      </c>
      <c r="F87" s="10" t="s">
        <v>279</v>
      </c>
      <c r="G87" s="11" t="s">
        <v>280</v>
      </c>
      <c r="H87" s="10" t="s">
        <v>98</v>
      </c>
      <c r="I87" s="10" t="s">
        <v>1419</v>
      </c>
      <c r="J87" s="7" t="s">
        <v>121</v>
      </c>
    </row>
    <row r="88" ht="22.5" customHeight="1">
      <c r="A88" s="9">
        <v>46221.80083466435</v>
      </c>
      <c r="B88" s="10" t="s">
        <v>1420</v>
      </c>
      <c r="C88" s="10" t="s">
        <v>281</v>
      </c>
      <c r="D88" s="10" t="s">
        <v>1421</v>
      </c>
      <c r="E88" s="10" t="s">
        <v>1418</v>
      </c>
      <c r="F88" s="10" t="s">
        <v>282</v>
      </c>
      <c r="G88" s="11" t="s">
        <v>283</v>
      </c>
      <c r="H88" s="10" t="s">
        <v>98</v>
      </c>
      <c r="I88" s="10" t="s">
        <v>1422</v>
      </c>
      <c r="J88" s="7" t="s">
        <v>121</v>
      </c>
    </row>
    <row r="89" ht="22.5" customHeight="1">
      <c r="A89" s="9">
        <v>46221.810025949075</v>
      </c>
      <c r="B89" s="10" t="s">
        <v>1423</v>
      </c>
      <c r="C89" s="10" t="s">
        <v>285</v>
      </c>
      <c r="D89" s="10" t="s">
        <v>1424</v>
      </c>
      <c r="E89" s="10" t="s">
        <v>1425</v>
      </c>
      <c r="F89" s="10" t="s">
        <v>286</v>
      </c>
      <c r="G89" s="11" t="s">
        <v>287</v>
      </c>
      <c r="H89" s="10" t="s">
        <v>12</v>
      </c>
      <c r="I89" s="10" t="s">
        <v>1426</v>
      </c>
      <c r="J89" s="7" t="s">
        <v>121</v>
      </c>
    </row>
    <row r="90" ht="22.5" customHeight="1">
      <c r="A90" s="9">
        <v>46221.81590292824</v>
      </c>
      <c r="B90" s="10" t="s">
        <v>1427</v>
      </c>
      <c r="C90" s="10" t="s">
        <v>288</v>
      </c>
      <c r="D90" s="10" t="s">
        <v>1428</v>
      </c>
      <c r="E90" s="10" t="s">
        <v>1355</v>
      </c>
      <c r="F90" s="10" t="s">
        <v>289</v>
      </c>
      <c r="G90" s="11" t="s">
        <v>290</v>
      </c>
      <c r="H90" s="10" t="s">
        <v>98</v>
      </c>
      <c r="I90" s="10" t="s">
        <v>1429</v>
      </c>
      <c r="J90" s="7" t="s">
        <v>121</v>
      </c>
    </row>
    <row r="91" ht="22.5" customHeight="1">
      <c r="A91" s="9">
        <v>46221.81785357639</v>
      </c>
      <c r="B91" s="10">
        <v>47.0</v>
      </c>
      <c r="C91" s="10" t="s">
        <v>291</v>
      </c>
      <c r="D91" s="10" t="s">
        <v>1430</v>
      </c>
      <c r="E91" s="10" t="s">
        <v>1431</v>
      </c>
      <c r="F91" s="10" t="s">
        <v>292</v>
      </c>
      <c r="G91" s="11" t="s">
        <v>293</v>
      </c>
      <c r="H91" s="10" t="s">
        <v>98</v>
      </c>
      <c r="I91" s="10" t="s">
        <v>1432</v>
      </c>
      <c r="J91" s="7" t="s">
        <v>121</v>
      </c>
    </row>
    <row r="92" ht="22.5" customHeight="1">
      <c r="A92" s="9">
        <v>46221.82293739583</v>
      </c>
      <c r="B92" s="10" t="s">
        <v>1433</v>
      </c>
      <c r="C92" s="10" t="s">
        <v>291</v>
      </c>
      <c r="D92" s="10">
        <v>47.0</v>
      </c>
      <c r="E92" s="10" t="s">
        <v>1434</v>
      </c>
      <c r="F92" s="10" t="s">
        <v>292</v>
      </c>
      <c r="G92" s="11" t="s">
        <v>293</v>
      </c>
      <c r="H92" s="10" t="s">
        <v>98</v>
      </c>
      <c r="I92" s="10" t="s">
        <v>1435</v>
      </c>
      <c r="J92" s="7" t="s">
        <v>121</v>
      </c>
    </row>
    <row r="93" ht="22.5" customHeight="1">
      <c r="A93" s="9">
        <v>46221.830181377314</v>
      </c>
      <c r="B93" s="10" t="s">
        <v>1436</v>
      </c>
      <c r="C93" s="10" t="s">
        <v>295</v>
      </c>
      <c r="D93" s="10" t="s">
        <v>1437</v>
      </c>
      <c r="E93" s="10" t="s">
        <v>1438</v>
      </c>
      <c r="F93" s="10" t="s">
        <v>297</v>
      </c>
      <c r="G93" s="11" t="s">
        <v>298</v>
      </c>
      <c r="H93" s="10" t="s">
        <v>98</v>
      </c>
      <c r="I93" s="10" t="s">
        <v>1439</v>
      </c>
      <c r="J93" s="7" t="s">
        <v>121</v>
      </c>
    </row>
    <row r="94" ht="22.5" customHeight="1">
      <c r="A94" s="9">
        <v>46221.83207563657</v>
      </c>
      <c r="B94" s="10" t="s">
        <v>1440</v>
      </c>
      <c r="C94" s="10" t="s">
        <v>300</v>
      </c>
      <c r="D94" s="10" t="s">
        <v>1441</v>
      </c>
      <c r="E94" s="10" t="s">
        <v>1442</v>
      </c>
      <c r="F94" s="10" t="s">
        <v>301</v>
      </c>
      <c r="G94" s="11" t="s">
        <v>302</v>
      </c>
      <c r="H94" s="10" t="s">
        <v>12</v>
      </c>
      <c r="I94" s="10" t="s">
        <v>1443</v>
      </c>
      <c r="J94" s="7" t="s">
        <v>121</v>
      </c>
    </row>
    <row r="95" ht="22.5" customHeight="1">
      <c r="A95" s="9">
        <v>46221.832957094906</v>
      </c>
      <c r="B95" s="10" t="s">
        <v>1444</v>
      </c>
      <c r="C95" s="10" t="s">
        <v>303</v>
      </c>
      <c r="D95" s="10" t="s">
        <v>1445</v>
      </c>
      <c r="E95" s="10" t="s">
        <v>1446</v>
      </c>
      <c r="F95" s="10" t="s">
        <v>304</v>
      </c>
      <c r="G95" s="11" t="s">
        <v>305</v>
      </c>
      <c r="H95" s="10" t="s">
        <v>23</v>
      </c>
      <c r="I95" s="10" t="s">
        <v>1447</v>
      </c>
      <c r="J95" s="7" t="s">
        <v>121</v>
      </c>
    </row>
    <row r="96" ht="22.5" customHeight="1">
      <c r="A96" s="9">
        <v>46221.835482951385</v>
      </c>
      <c r="B96" s="10" t="s">
        <v>1448</v>
      </c>
      <c r="C96" s="10" t="s">
        <v>307</v>
      </c>
      <c r="D96" s="10">
        <v>52.0</v>
      </c>
      <c r="E96" s="10" t="s">
        <v>1449</v>
      </c>
      <c r="F96" s="10" t="s">
        <v>308</v>
      </c>
      <c r="G96" s="11" t="s">
        <v>309</v>
      </c>
      <c r="H96" s="10" t="s">
        <v>8</v>
      </c>
      <c r="I96" s="10" t="s">
        <v>1450</v>
      </c>
      <c r="J96" s="7" t="s">
        <v>121</v>
      </c>
    </row>
    <row r="97" ht="22.5" customHeight="1">
      <c r="A97" s="9">
        <v>46221.835522071764</v>
      </c>
      <c r="B97" s="10" t="s">
        <v>1451</v>
      </c>
      <c r="C97" s="10" t="s">
        <v>310</v>
      </c>
      <c r="D97" s="10" t="s">
        <v>1452</v>
      </c>
      <c r="E97" s="10" t="s">
        <v>1453</v>
      </c>
      <c r="F97" s="10" t="s">
        <v>312</v>
      </c>
      <c r="G97" s="11" t="s">
        <v>313</v>
      </c>
      <c r="H97" s="10" t="s">
        <v>98</v>
      </c>
      <c r="I97" s="10" t="s">
        <v>1454</v>
      </c>
      <c r="J97" s="7" t="s">
        <v>121</v>
      </c>
    </row>
    <row r="98" ht="22.5" customHeight="1">
      <c r="A98" s="9">
        <v>46221.836882083335</v>
      </c>
      <c r="B98" s="10" t="s">
        <v>1455</v>
      </c>
      <c r="C98" s="10" t="s">
        <v>314</v>
      </c>
      <c r="D98" s="10" t="s">
        <v>1456</v>
      </c>
      <c r="E98" s="10" t="s">
        <v>1457</v>
      </c>
      <c r="F98" s="10" t="s">
        <v>315</v>
      </c>
      <c r="G98" s="11" t="s">
        <v>316</v>
      </c>
      <c r="H98" s="10" t="s">
        <v>56</v>
      </c>
      <c r="I98" s="10" t="s">
        <v>1458</v>
      </c>
      <c r="J98" s="7" t="s">
        <v>121</v>
      </c>
    </row>
    <row r="99" ht="22.5" customHeight="1">
      <c r="A99" s="9">
        <v>46221.8392674537</v>
      </c>
      <c r="B99" s="10" t="s">
        <v>1459</v>
      </c>
      <c r="C99" s="10" t="s">
        <v>318</v>
      </c>
      <c r="D99" s="10" t="s">
        <v>1460</v>
      </c>
      <c r="E99" s="10" t="s">
        <v>1461</v>
      </c>
      <c r="F99" s="10" t="s">
        <v>319</v>
      </c>
      <c r="G99" s="11" t="s">
        <v>320</v>
      </c>
      <c r="H99" s="10" t="s">
        <v>12</v>
      </c>
      <c r="I99" s="10" t="s">
        <v>1462</v>
      </c>
      <c r="J99" s="7" t="s">
        <v>121</v>
      </c>
    </row>
    <row r="100" ht="22.5" customHeight="1">
      <c r="A100" s="9">
        <v>46221.84327048611</v>
      </c>
      <c r="B100" s="10" t="s">
        <v>1463</v>
      </c>
      <c r="C100" s="10" t="s">
        <v>321</v>
      </c>
      <c r="D100" s="10" t="s">
        <v>1445</v>
      </c>
      <c r="E100" s="10" t="s">
        <v>1091</v>
      </c>
      <c r="F100" s="10" t="s">
        <v>322</v>
      </c>
      <c r="G100" s="11" t="s">
        <v>323</v>
      </c>
      <c r="H100" s="10" t="s">
        <v>12</v>
      </c>
      <c r="I100" s="10" t="s">
        <v>1464</v>
      </c>
      <c r="J100" s="7" t="s">
        <v>121</v>
      </c>
    </row>
    <row r="101" ht="22.5" customHeight="1">
      <c r="A101" s="9">
        <v>46221.84650186343</v>
      </c>
      <c r="B101" s="10" t="s">
        <v>1465</v>
      </c>
      <c r="C101" s="10" t="s">
        <v>324</v>
      </c>
      <c r="D101" s="10" t="s">
        <v>1466</v>
      </c>
      <c r="E101" s="10" t="s">
        <v>1467</v>
      </c>
      <c r="F101" s="10" t="s">
        <v>325</v>
      </c>
      <c r="G101" s="11" t="s">
        <v>326</v>
      </c>
      <c r="H101" s="10" t="s">
        <v>327</v>
      </c>
      <c r="I101" s="10" t="s">
        <v>1468</v>
      </c>
      <c r="J101" s="7" t="s">
        <v>121</v>
      </c>
    </row>
    <row r="102" ht="22.5" customHeight="1">
      <c r="A102" s="9">
        <v>46221.8507794676</v>
      </c>
      <c r="B102" s="10" t="s">
        <v>1469</v>
      </c>
      <c r="C102" s="10" t="s">
        <v>328</v>
      </c>
      <c r="D102" s="10" t="s">
        <v>1470</v>
      </c>
      <c r="E102" s="10" t="s">
        <v>1471</v>
      </c>
      <c r="F102" s="10" t="s">
        <v>329</v>
      </c>
      <c r="G102" s="11" t="s">
        <v>331</v>
      </c>
      <c r="H102" s="10" t="s">
        <v>23</v>
      </c>
      <c r="I102" s="10" t="s">
        <v>1472</v>
      </c>
      <c r="J102" s="7" t="s">
        <v>121</v>
      </c>
    </row>
    <row r="103" ht="22.5" customHeight="1">
      <c r="A103" s="9">
        <v>46221.851768252316</v>
      </c>
      <c r="B103" s="10" t="s">
        <v>1473</v>
      </c>
      <c r="C103" s="10" t="s">
        <v>332</v>
      </c>
      <c r="D103" s="10" t="s">
        <v>1474</v>
      </c>
      <c r="E103" s="10" t="s">
        <v>1475</v>
      </c>
      <c r="F103" s="10" t="s">
        <v>333</v>
      </c>
      <c r="G103" s="11" t="s">
        <v>334</v>
      </c>
      <c r="H103" s="10" t="s">
        <v>335</v>
      </c>
      <c r="I103" s="10" t="s">
        <v>1476</v>
      </c>
      <c r="J103" s="7" t="s">
        <v>121</v>
      </c>
    </row>
    <row r="104" ht="22.5" customHeight="1">
      <c r="A104" s="9">
        <v>46221.852186944445</v>
      </c>
      <c r="B104" s="10" t="s">
        <v>1477</v>
      </c>
      <c r="C104" s="10" t="s">
        <v>336</v>
      </c>
      <c r="D104" s="10" t="s">
        <v>1478</v>
      </c>
      <c r="E104" s="10" t="s">
        <v>1479</v>
      </c>
      <c r="F104" s="10" t="s">
        <v>337</v>
      </c>
      <c r="G104" s="11" t="s">
        <v>338</v>
      </c>
      <c r="H104" s="10" t="s">
        <v>23</v>
      </c>
      <c r="I104" s="10" t="s">
        <v>1480</v>
      </c>
      <c r="J104" s="7" t="s">
        <v>121</v>
      </c>
    </row>
    <row r="105" ht="22.5" customHeight="1">
      <c r="A105" s="9">
        <v>46221.85503021991</v>
      </c>
      <c r="B105" s="10" t="s">
        <v>1481</v>
      </c>
      <c r="C105" s="10" t="s">
        <v>340</v>
      </c>
      <c r="D105" s="10" t="s">
        <v>1456</v>
      </c>
      <c r="E105" s="10" t="s">
        <v>1482</v>
      </c>
      <c r="F105" s="10" t="s">
        <v>341</v>
      </c>
      <c r="G105" s="11" t="s">
        <v>342</v>
      </c>
      <c r="H105" s="10" t="s">
        <v>23</v>
      </c>
      <c r="I105" s="10" t="s">
        <v>1483</v>
      </c>
      <c r="J105" s="7" t="s">
        <v>121</v>
      </c>
    </row>
    <row r="106" ht="22.5" customHeight="1">
      <c r="A106" s="9">
        <v>46221.856736030095</v>
      </c>
      <c r="B106" s="10" t="s">
        <v>1484</v>
      </c>
      <c r="C106" s="10" t="s">
        <v>343</v>
      </c>
      <c r="D106" s="10" t="s">
        <v>1456</v>
      </c>
      <c r="E106" s="10" t="s">
        <v>1485</v>
      </c>
      <c r="F106" s="10" t="s">
        <v>344</v>
      </c>
      <c r="G106" s="11" t="s">
        <v>345</v>
      </c>
      <c r="H106" s="10" t="s">
        <v>23</v>
      </c>
      <c r="I106" s="10" t="s">
        <v>1486</v>
      </c>
      <c r="J106" s="7" t="s">
        <v>121</v>
      </c>
    </row>
    <row r="107" ht="22.5" customHeight="1">
      <c r="A107" s="9">
        <v>46221.86602314815</v>
      </c>
      <c r="B107" s="10" t="s">
        <v>1487</v>
      </c>
      <c r="C107" s="10" t="s">
        <v>346</v>
      </c>
      <c r="D107" s="10" t="s">
        <v>1488</v>
      </c>
      <c r="E107" s="10" t="s">
        <v>1489</v>
      </c>
      <c r="F107" s="10" t="s">
        <v>348</v>
      </c>
      <c r="G107" s="11" t="s">
        <v>349</v>
      </c>
      <c r="H107" s="10" t="s">
        <v>23</v>
      </c>
      <c r="I107" s="10" t="s">
        <v>1490</v>
      </c>
      <c r="J107" s="7" t="s">
        <v>121</v>
      </c>
    </row>
    <row r="108" ht="22.5" customHeight="1">
      <c r="A108" s="9">
        <v>46221.86786362268</v>
      </c>
      <c r="B108" s="10" t="s">
        <v>1491</v>
      </c>
      <c r="C108" s="10" t="s">
        <v>350</v>
      </c>
      <c r="D108" s="10" t="s">
        <v>1492</v>
      </c>
      <c r="E108" s="10" t="s">
        <v>1493</v>
      </c>
      <c r="F108" s="10" t="s">
        <v>351</v>
      </c>
      <c r="G108" s="11" t="s">
        <v>352</v>
      </c>
      <c r="H108" s="10" t="s">
        <v>8</v>
      </c>
      <c r="I108" s="10" t="s">
        <v>1494</v>
      </c>
      <c r="J108" s="7" t="s">
        <v>121</v>
      </c>
    </row>
    <row r="109" ht="22.5" customHeight="1">
      <c r="A109" s="9">
        <v>46221.86801907407</v>
      </c>
      <c r="B109" s="10" t="s">
        <v>1495</v>
      </c>
      <c r="C109" s="10" t="s">
        <v>353</v>
      </c>
      <c r="D109" s="10" t="s">
        <v>1496</v>
      </c>
      <c r="E109" s="10" t="s">
        <v>1411</v>
      </c>
      <c r="F109" s="10" t="s">
        <v>354</v>
      </c>
      <c r="G109" s="10">
        <v>1.305444033E9</v>
      </c>
      <c r="H109" s="10" t="s">
        <v>356</v>
      </c>
      <c r="I109" s="10" t="s">
        <v>1497</v>
      </c>
      <c r="J109" s="7" t="s">
        <v>121</v>
      </c>
    </row>
    <row r="110" ht="22.5" customHeight="1">
      <c r="A110" s="9">
        <v>46221.875347002315</v>
      </c>
      <c r="B110" s="10" t="s">
        <v>1498</v>
      </c>
      <c r="C110" s="10" t="s">
        <v>357</v>
      </c>
      <c r="D110" s="10" t="s">
        <v>1499</v>
      </c>
      <c r="E110" s="10" t="s">
        <v>1500</v>
      </c>
      <c r="F110" s="10" t="s">
        <v>359</v>
      </c>
      <c r="G110" s="11" t="s">
        <v>360</v>
      </c>
      <c r="H110" s="10" t="s">
        <v>12</v>
      </c>
      <c r="I110" s="10" t="s">
        <v>1360</v>
      </c>
      <c r="J110" s="7" t="s">
        <v>121</v>
      </c>
    </row>
    <row r="111" ht="22.5" customHeight="1">
      <c r="A111" s="9">
        <v>46221.87641640047</v>
      </c>
      <c r="B111" s="10" t="s">
        <v>1501</v>
      </c>
      <c r="C111" s="10" t="s">
        <v>361</v>
      </c>
      <c r="D111" s="10" t="s">
        <v>1502</v>
      </c>
      <c r="E111" s="10" t="s">
        <v>1503</v>
      </c>
      <c r="F111" s="10" t="s">
        <v>362</v>
      </c>
      <c r="G111" s="11" t="s">
        <v>363</v>
      </c>
      <c r="H111" s="10" t="s">
        <v>98</v>
      </c>
      <c r="I111" s="10" t="s">
        <v>1504</v>
      </c>
      <c r="J111" s="7" t="s">
        <v>121</v>
      </c>
    </row>
    <row r="112" ht="22.5" customHeight="1">
      <c r="A112" s="9">
        <v>46221.87765197917</v>
      </c>
      <c r="B112" s="10" t="s">
        <v>1505</v>
      </c>
      <c r="C112" s="10" t="s">
        <v>364</v>
      </c>
      <c r="D112" s="10" t="s">
        <v>1506</v>
      </c>
      <c r="E112" s="10" t="s">
        <v>1507</v>
      </c>
      <c r="F112" s="10" t="s">
        <v>365</v>
      </c>
      <c r="G112" s="11" t="s">
        <v>366</v>
      </c>
      <c r="H112" s="10" t="s">
        <v>8</v>
      </c>
      <c r="I112" s="10" t="s">
        <v>1508</v>
      </c>
      <c r="J112" s="7" t="s">
        <v>121</v>
      </c>
    </row>
    <row r="113" ht="22.5" customHeight="1">
      <c r="A113" s="9">
        <v>46221.87829371528</v>
      </c>
      <c r="B113" s="10" t="s">
        <v>1509</v>
      </c>
      <c r="C113" s="10" t="s">
        <v>368</v>
      </c>
      <c r="D113" s="10" t="s">
        <v>1510</v>
      </c>
      <c r="E113" s="10" t="s">
        <v>1511</v>
      </c>
      <c r="F113" s="10" t="s">
        <v>369</v>
      </c>
      <c r="G113" s="11" t="s">
        <v>370</v>
      </c>
      <c r="H113" s="10" t="s">
        <v>12</v>
      </c>
      <c r="I113" s="10" t="s">
        <v>1512</v>
      </c>
      <c r="J113" s="7" t="s">
        <v>121</v>
      </c>
    </row>
    <row r="114" ht="22.5" customHeight="1">
      <c r="A114" s="9">
        <v>46221.87853043982</v>
      </c>
      <c r="B114" s="10" t="s">
        <v>1513</v>
      </c>
      <c r="C114" s="10" t="s">
        <v>371</v>
      </c>
      <c r="D114" s="10" t="s">
        <v>1514</v>
      </c>
      <c r="E114" s="10" t="s">
        <v>1503</v>
      </c>
      <c r="F114" s="10" t="s">
        <v>372</v>
      </c>
      <c r="G114" s="11" t="s">
        <v>373</v>
      </c>
      <c r="H114" s="10" t="s">
        <v>98</v>
      </c>
      <c r="I114" s="10" t="s">
        <v>1515</v>
      </c>
      <c r="J114" s="7" t="s">
        <v>121</v>
      </c>
    </row>
    <row r="115" ht="22.5" customHeight="1">
      <c r="A115" s="9">
        <v>46221.87975825231</v>
      </c>
      <c r="B115" s="10" t="s">
        <v>1516</v>
      </c>
      <c r="C115" s="10" t="s">
        <v>375</v>
      </c>
      <c r="D115" s="10" t="s">
        <v>1517</v>
      </c>
      <c r="E115" s="10" t="s">
        <v>1518</v>
      </c>
      <c r="F115" s="10" t="s">
        <v>376</v>
      </c>
      <c r="G115" s="11" t="s">
        <v>377</v>
      </c>
      <c r="H115" s="10" t="s">
        <v>23</v>
      </c>
      <c r="I115" s="10" t="s">
        <v>585</v>
      </c>
      <c r="J115" s="7" t="s">
        <v>121</v>
      </c>
    </row>
    <row r="116" ht="22.5" customHeight="1">
      <c r="A116" s="9">
        <v>46221.882991122686</v>
      </c>
      <c r="B116" s="10" t="s">
        <v>1519</v>
      </c>
      <c r="C116" s="10" t="s">
        <v>378</v>
      </c>
      <c r="D116" s="10" t="s">
        <v>1520</v>
      </c>
      <c r="E116" s="10" t="s">
        <v>1521</v>
      </c>
      <c r="F116" s="10" t="s">
        <v>379</v>
      </c>
      <c r="G116" s="11" t="s">
        <v>380</v>
      </c>
      <c r="H116" s="10" t="s">
        <v>12</v>
      </c>
      <c r="I116" s="10" t="s">
        <v>1522</v>
      </c>
      <c r="J116" s="7" t="s">
        <v>121</v>
      </c>
    </row>
    <row r="117" ht="22.5" customHeight="1">
      <c r="A117" s="9">
        <v>46221.88563138889</v>
      </c>
      <c r="B117" s="10" t="s">
        <v>1523</v>
      </c>
      <c r="C117" s="10" t="s">
        <v>381</v>
      </c>
      <c r="D117" s="10" t="s">
        <v>1524</v>
      </c>
      <c r="E117" s="10" t="s">
        <v>1525</v>
      </c>
      <c r="F117" s="10" t="s">
        <v>382</v>
      </c>
      <c r="G117" s="11" t="s">
        <v>383</v>
      </c>
      <c r="H117" s="10" t="s">
        <v>23</v>
      </c>
      <c r="I117" s="10" t="s">
        <v>1315</v>
      </c>
      <c r="J117" s="7" t="s">
        <v>121</v>
      </c>
    </row>
    <row r="118" ht="22.5" customHeight="1">
      <c r="A118" s="9">
        <v>46221.889771331014</v>
      </c>
      <c r="B118" s="10" t="s">
        <v>1526</v>
      </c>
      <c r="C118" s="10" t="s">
        <v>385</v>
      </c>
      <c r="D118" s="10" t="s">
        <v>1510</v>
      </c>
      <c r="E118" s="10" t="s">
        <v>1122</v>
      </c>
      <c r="F118" s="10" t="s">
        <v>386</v>
      </c>
      <c r="G118" s="11" t="s">
        <v>387</v>
      </c>
      <c r="H118" s="10" t="s">
        <v>12</v>
      </c>
      <c r="I118" s="10" t="s">
        <v>1527</v>
      </c>
      <c r="J118" s="7" t="s">
        <v>121</v>
      </c>
    </row>
    <row r="119" ht="22.5" customHeight="1">
      <c r="A119" s="9">
        <v>46221.896765729165</v>
      </c>
      <c r="B119" s="10" t="s">
        <v>1528</v>
      </c>
      <c r="C119" s="10" t="s">
        <v>388</v>
      </c>
      <c r="D119" s="10" t="s">
        <v>1529</v>
      </c>
      <c r="E119" s="10" t="s">
        <v>1530</v>
      </c>
      <c r="F119" s="10" t="s">
        <v>389</v>
      </c>
      <c r="G119" s="11" t="s">
        <v>390</v>
      </c>
      <c r="H119" s="10" t="s">
        <v>391</v>
      </c>
      <c r="I119" s="10" t="s">
        <v>1531</v>
      </c>
      <c r="J119" s="7" t="s">
        <v>121</v>
      </c>
    </row>
    <row r="120" ht="22.5" customHeight="1">
      <c r="A120" s="9">
        <v>46221.90402861111</v>
      </c>
      <c r="B120" s="10" t="s">
        <v>1532</v>
      </c>
      <c r="C120" s="10" t="s">
        <v>392</v>
      </c>
      <c r="D120" s="10" t="s">
        <v>1456</v>
      </c>
      <c r="E120" s="10" t="s">
        <v>1533</v>
      </c>
      <c r="F120" s="10" t="s">
        <v>393</v>
      </c>
      <c r="G120" s="11" t="s">
        <v>394</v>
      </c>
      <c r="H120" s="10" t="s">
        <v>8</v>
      </c>
      <c r="I120" s="10" t="s">
        <v>1534</v>
      </c>
      <c r="J120" s="7" t="s">
        <v>121</v>
      </c>
    </row>
    <row r="121" ht="22.5" customHeight="1">
      <c r="A121" s="9">
        <v>46221.905466516204</v>
      </c>
      <c r="B121" s="10" t="s">
        <v>1535</v>
      </c>
      <c r="C121" s="10" t="s">
        <v>396</v>
      </c>
      <c r="D121" s="10" t="s">
        <v>1536</v>
      </c>
      <c r="E121" s="10" t="s">
        <v>1537</v>
      </c>
      <c r="F121" s="10" t="s">
        <v>397</v>
      </c>
      <c r="G121" s="11" t="s">
        <v>398</v>
      </c>
      <c r="H121" s="10" t="s">
        <v>8</v>
      </c>
      <c r="I121" s="10" t="s">
        <v>1538</v>
      </c>
      <c r="J121" s="7" t="s">
        <v>121</v>
      </c>
    </row>
    <row r="122" ht="22.5" customHeight="1">
      <c r="A122" s="9">
        <v>46221.90618311343</v>
      </c>
      <c r="B122" s="10" t="s">
        <v>1539</v>
      </c>
      <c r="C122" s="10" t="s">
        <v>399</v>
      </c>
      <c r="D122" s="10" t="s">
        <v>1540</v>
      </c>
      <c r="E122" s="10" t="s">
        <v>1537</v>
      </c>
      <c r="F122" s="10" t="s">
        <v>401</v>
      </c>
      <c r="G122" s="11" t="s">
        <v>402</v>
      </c>
      <c r="H122" s="10" t="s">
        <v>12</v>
      </c>
      <c r="I122" s="11" t="s">
        <v>402</v>
      </c>
      <c r="J122" s="7" t="s">
        <v>121</v>
      </c>
    </row>
    <row r="123" ht="22.5" customHeight="1">
      <c r="A123" s="9">
        <v>46221.90831194444</v>
      </c>
      <c r="B123" s="10" t="s">
        <v>1541</v>
      </c>
      <c r="C123" s="10" t="s">
        <v>404</v>
      </c>
      <c r="D123" s="10" t="s">
        <v>1542</v>
      </c>
      <c r="E123" s="10" t="s">
        <v>1543</v>
      </c>
      <c r="F123" s="10" t="s">
        <v>405</v>
      </c>
      <c r="G123" s="11" t="s">
        <v>406</v>
      </c>
      <c r="H123" s="10" t="s">
        <v>23</v>
      </c>
      <c r="I123" s="10" t="s">
        <v>1544</v>
      </c>
      <c r="J123" s="7" t="s">
        <v>121</v>
      </c>
    </row>
    <row r="124" ht="22.5" customHeight="1">
      <c r="A124" s="9">
        <v>46221.909705196755</v>
      </c>
      <c r="B124" s="10" t="s">
        <v>1545</v>
      </c>
      <c r="C124" s="10" t="s">
        <v>407</v>
      </c>
      <c r="D124" s="10" t="s">
        <v>1546</v>
      </c>
      <c r="E124" s="10" t="s">
        <v>1547</v>
      </c>
      <c r="F124" s="10" t="s">
        <v>408</v>
      </c>
      <c r="G124" s="11" t="s">
        <v>409</v>
      </c>
      <c r="H124" s="10" t="s">
        <v>410</v>
      </c>
      <c r="I124" s="10" t="s">
        <v>1450</v>
      </c>
      <c r="J124" s="7" t="s">
        <v>121</v>
      </c>
    </row>
    <row r="125" ht="22.5" customHeight="1">
      <c r="A125" s="9">
        <v>46221.9133528588</v>
      </c>
      <c r="B125" s="10" t="s">
        <v>1548</v>
      </c>
      <c r="C125" s="10" t="s">
        <v>411</v>
      </c>
      <c r="D125" s="10" t="s">
        <v>1549</v>
      </c>
      <c r="E125" s="10" t="s">
        <v>1122</v>
      </c>
      <c r="F125" s="10" t="s">
        <v>412</v>
      </c>
      <c r="G125" s="11" t="s">
        <v>413</v>
      </c>
      <c r="H125" s="10" t="s">
        <v>12</v>
      </c>
      <c r="I125" s="10" t="s">
        <v>1550</v>
      </c>
      <c r="J125" s="7" t="s">
        <v>121</v>
      </c>
    </row>
    <row r="126" ht="22.5" customHeight="1">
      <c r="A126" s="9">
        <v>46221.932842395836</v>
      </c>
      <c r="B126" s="10" t="s">
        <v>1551</v>
      </c>
      <c r="C126" s="10" t="s">
        <v>414</v>
      </c>
      <c r="D126" s="10" t="s">
        <v>1552</v>
      </c>
      <c r="E126" s="10" t="s">
        <v>1553</v>
      </c>
      <c r="F126" s="10" t="s">
        <v>416</v>
      </c>
      <c r="G126" s="11" t="s">
        <v>417</v>
      </c>
      <c r="H126" s="10" t="s">
        <v>12</v>
      </c>
      <c r="I126" s="10" t="s">
        <v>1554</v>
      </c>
      <c r="J126" s="7" t="s">
        <v>121</v>
      </c>
    </row>
    <row r="127" ht="22.5" customHeight="1">
      <c r="A127" s="9">
        <v>46221.9458299074</v>
      </c>
      <c r="B127" s="10" t="s">
        <v>1555</v>
      </c>
      <c r="C127" s="10" t="s">
        <v>418</v>
      </c>
      <c r="D127" s="10">
        <v>49.0</v>
      </c>
      <c r="E127" s="10" t="s">
        <v>1556</v>
      </c>
      <c r="F127" s="10" t="s">
        <v>419</v>
      </c>
      <c r="G127" s="11" t="s">
        <v>420</v>
      </c>
      <c r="H127" s="10" t="s">
        <v>539</v>
      </c>
      <c r="I127" s="10" t="s">
        <v>1557</v>
      </c>
      <c r="J127" s="7" t="s">
        <v>95</v>
      </c>
    </row>
    <row r="128" ht="22.5" customHeight="1">
      <c r="A128" s="9">
        <v>46221.948666192126</v>
      </c>
      <c r="B128" s="10" t="s">
        <v>1555</v>
      </c>
      <c r="C128" s="10" t="s">
        <v>418</v>
      </c>
      <c r="D128" s="10" t="s">
        <v>1558</v>
      </c>
      <c r="E128" s="10" t="s">
        <v>1556</v>
      </c>
      <c r="F128" s="10" t="s">
        <v>419</v>
      </c>
      <c r="G128" s="11" t="s">
        <v>420</v>
      </c>
      <c r="H128" s="10" t="s">
        <v>23</v>
      </c>
      <c r="I128" s="10" t="s">
        <v>1557</v>
      </c>
      <c r="J128" s="7" t="s">
        <v>121</v>
      </c>
    </row>
    <row r="129" ht="22.5" customHeight="1">
      <c r="A129" s="9">
        <v>46221.95813987269</v>
      </c>
      <c r="B129" s="10" t="s">
        <v>1559</v>
      </c>
      <c r="C129" s="10" t="s">
        <v>421</v>
      </c>
      <c r="D129" s="10">
        <v>52.0</v>
      </c>
      <c r="E129" s="10" t="s">
        <v>1560</v>
      </c>
      <c r="F129" s="10" t="s">
        <v>422</v>
      </c>
      <c r="G129" s="11" t="s">
        <v>423</v>
      </c>
      <c r="H129" s="10" t="s">
        <v>98</v>
      </c>
      <c r="I129" s="10" t="s">
        <v>1561</v>
      </c>
      <c r="J129" s="7" t="s">
        <v>121</v>
      </c>
    </row>
    <row r="130" ht="22.5" customHeight="1">
      <c r="A130" s="9">
        <v>46221.96617484954</v>
      </c>
      <c r="B130" s="10" t="s">
        <v>1562</v>
      </c>
      <c r="C130" s="10" t="s">
        <v>425</v>
      </c>
      <c r="D130" s="10" t="s">
        <v>1510</v>
      </c>
      <c r="E130" s="10" t="s">
        <v>1563</v>
      </c>
      <c r="F130" s="10" t="s">
        <v>426</v>
      </c>
      <c r="G130" s="11" t="s">
        <v>427</v>
      </c>
      <c r="H130" s="10" t="s">
        <v>12</v>
      </c>
      <c r="I130" s="10" t="s">
        <v>1468</v>
      </c>
      <c r="J130" s="7" t="s">
        <v>121</v>
      </c>
    </row>
    <row r="131" ht="22.5" customHeight="1">
      <c r="A131" s="9">
        <v>46221.96632361111</v>
      </c>
      <c r="B131" s="10" t="s">
        <v>1564</v>
      </c>
      <c r="C131" s="10" t="s">
        <v>429</v>
      </c>
      <c r="D131" s="10" t="s">
        <v>1565</v>
      </c>
      <c r="E131" s="10" t="s">
        <v>111</v>
      </c>
      <c r="F131" s="10" t="s">
        <v>430</v>
      </c>
      <c r="G131" s="11" t="s">
        <v>432</v>
      </c>
      <c r="H131" s="10" t="s">
        <v>23</v>
      </c>
      <c r="I131" s="10" t="s">
        <v>1566</v>
      </c>
      <c r="J131" s="7" t="s">
        <v>121</v>
      </c>
    </row>
    <row r="132" ht="22.5" customHeight="1">
      <c r="A132" s="9">
        <v>46221.969064537036</v>
      </c>
      <c r="B132" s="10" t="s">
        <v>1567</v>
      </c>
      <c r="C132" s="10" t="s">
        <v>433</v>
      </c>
      <c r="D132" s="10" t="s">
        <v>1568</v>
      </c>
      <c r="E132" s="10" t="s">
        <v>1569</v>
      </c>
      <c r="F132" s="10" t="s">
        <v>435</v>
      </c>
      <c r="G132" s="11" t="s">
        <v>436</v>
      </c>
      <c r="H132" s="10" t="s">
        <v>23</v>
      </c>
      <c r="I132" s="10" t="s">
        <v>1468</v>
      </c>
      <c r="J132" s="7" t="s">
        <v>121</v>
      </c>
    </row>
    <row r="133" ht="22.5" customHeight="1">
      <c r="A133" s="9">
        <v>46221.97684271991</v>
      </c>
      <c r="B133" s="10" t="s">
        <v>1570</v>
      </c>
      <c r="C133" s="10" t="s">
        <v>438</v>
      </c>
      <c r="D133" s="10" t="s">
        <v>1571</v>
      </c>
      <c r="E133" s="10" t="s">
        <v>1572</v>
      </c>
      <c r="F133" s="10" t="s">
        <v>439</v>
      </c>
      <c r="G133" s="11" t="s">
        <v>440</v>
      </c>
      <c r="H133" s="10" t="s">
        <v>8</v>
      </c>
      <c r="I133" s="10" t="s">
        <v>1573</v>
      </c>
      <c r="J133" s="7" t="s">
        <v>121</v>
      </c>
    </row>
    <row r="134" ht="22.5" customHeight="1">
      <c r="A134" s="9">
        <v>46221.98633943287</v>
      </c>
      <c r="B134" s="10" t="s">
        <v>1574</v>
      </c>
      <c r="C134" s="10" t="s">
        <v>442</v>
      </c>
      <c r="D134" s="10" t="s">
        <v>1575</v>
      </c>
      <c r="E134" s="10" t="s">
        <v>1091</v>
      </c>
      <c r="F134" s="10" t="s">
        <v>443</v>
      </c>
      <c r="G134" s="11" t="s">
        <v>444</v>
      </c>
      <c r="H134" s="10" t="s">
        <v>23</v>
      </c>
      <c r="I134" s="10" t="s">
        <v>1576</v>
      </c>
      <c r="J134" s="7" t="s">
        <v>121</v>
      </c>
    </row>
    <row r="135" ht="22.5" customHeight="1">
      <c r="A135" s="9">
        <v>46221.99353315972</v>
      </c>
      <c r="B135" s="10" t="s">
        <v>1577</v>
      </c>
      <c r="C135" s="10" t="s">
        <v>445</v>
      </c>
      <c r="D135" s="10">
        <v>49.0</v>
      </c>
      <c r="E135" s="10" t="s">
        <v>1222</v>
      </c>
      <c r="F135" s="10" t="s">
        <v>446</v>
      </c>
      <c r="G135" s="11" t="s">
        <v>448</v>
      </c>
      <c r="H135" s="10" t="s">
        <v>12</v>
      </c>
      <c r="I135" s="10" t="s">
        <v>1578</v>
      </c>
      <c r="J135" s="7" t="s">
        <v>121</v>
      </c>
    </row>
    <row r="136" ht="22.5" customHeight="1">
      <c r="A136" s="9">
        <v>46221.995753842595</v>
      </c>
      <c r="B136" s="10" t="s">
        <v>1579</v>
      </c>
      <c r="C136" s="10" t="s">
        <v>449</v>
      </c>
      <c r="D136" s="10" t="s">
        <v>1580</v>
      </c>
      <c r="E136" s="10" t="s">
        <v>1581</v>
      </c>
      <c r="F136" s="10" t="s">
        <v>450</v>
      </c>
      <c r="G136" s="11" t="s">
        <v>451</v>
      </c>
      <c r="H136" s="10" t="s">
        <v>23</v>
      </c>
      <c r="I136" s="10" t="s">
        <v>1582</v>
      </c>
      <c r="J136" s="7" t="s">
        <v>121</v>
      </c>
    </row>
    <row r="137" ht="22.5" customHeight="1">
      <c r="A137" s="9">
        <v>46222.020165567126</v>
      </c>
      <c r="B137" s="10" t="s">
        <v>1583</v>
      </c>
      <c r="C137" s="10" t="s">
        <v>452</v>
      </c>
      <c r="D137" s="10" t="s">
        <v>1004</v>
      </c>
      <c r="E137" s="10" t="s">
        <v>1327</v>
      </c>
      <c r="F137" s="10" t="s">
        <v>453</v>
      </c>
      <c r="G137" s="11" t="s">
        <v>454</v>
      </c>
      <c r="H137" s="10" t="s">
        <v>63</v>
      </c>
      <c r="I137" s="10" t="s">
        <v>1584</v>
      </c>
      <c r="J137" s="7" t="s">
        <v>121</v>
      </c>
    </row>
    <row r="138" ht="22.5" customHeight="1">
      <c r="A138" s="9">
        <v>46222.02220197917</v>
      </c>
      <c r="B138" s="10" t="s">
        <v>1585</v>
      </c>
      <c r="C138" s="10" t="s">
        <v>456</v>
      </c>
      <c r="D138" s="10" t="s">
        <v>1524</v>
      </c>
      <c r="E138" s="10" t="s">
        <v>136</v>
      </c>
      <c r="F138" s="10" t="s">
        <v>457</v>
      </c>
      <c r="G138" s="11" t="s">
        <v>458</v>
      </c>
      <c r="H138" s="10" t="s">
        <v>23</v>
      </c>
      <c r="I138" s="10" t="s">
        <v>1586</v>
      </c>
      <c r="J138" s="7" t="s">
        <v>121</v>
      </c>
    </row>
    <row r="139" ht="22.5" customHeight="1">
      <c r="A139" s="9">
        <v>46222.02576592592</v>
      </c>
      <c r="B139" s="10" t="s">
        <v>1587</v>
      </c>
      <c r="C139" s="10" t="s">
        <v>459</v>
      </c>
      <c r="D139" s="10" t="s">
        <v>1588</v>
      </c>
      <c r="E139" s="10" t="s">
        <v>111</v>
      </c>
      <c r="F139" s="10" t="s">
        <v>461</v>
      </c>
      <c r="G139" s="11" t="s">
        <v>462</v>
      </c>
      <c r="H139" s="10" t="s">
        <v>23</v>
      </c>
      <c r="I139" s="10" t="s">
        <v>1589</v>
      </c>
      <c r="J139" s="7" t="s">
        <v>121</v>
      </c>
    </row>
    <row r="140" ht="22.5" customHeight="1">
      <c r="A140" s="9">
        <v>46222.03518803241</v>
      </c>
      <c r="B140" s="10" t="s">
        <v>1590</v>
      </c>
      <c r="C140" s="10" t="s">
        <v>464</v>
      </c>
      <c r="D140" s="10" t="s">
        <v>1591</v>
      </c>
      <c r="E140" s="10" t="s">
        <v>1592</v>
      </c>
      <c r="F140" s="10" t="s">
        <v>465</v>
      </c>
      <c r="G140" s="11" t="s">
        <v>466</v>
      </c>
      <c r="H140" s="10" t="s">
        <v>12</v>
      </c>
      <c r="I140" s="10" t="s">
        <v>1360</v>
      </c>
      <c r="J140" s="7" t="s">
        <v>121</v>
      </c>
    </row>
    <row r="141" ht="22.5" customHeight="1">
      <c r="A141" s="9">
        <v>46222.03545601852</v>
      </c>
      <c r="B141" s="10" t="s">
        <v>1593</v>
      </c>
      <c r="C141" s="10" t="s">
        <v>467</v>
      </c>
      <c r="D141" s="10" t="s">
        <v>1594</v>
      </c>
      <c r="E141" s="10" t="s">
        <v>1595</v>
      </c>
      <c r="F141" s="10" t="s">
        <v>468</v>
      </c>
      <c r="G141" s="11" t="s">
        <v>469</v>
      </c>
      <c r="H141" s="10" t="s">
        <v>12</v>
      </c>
      <c r="I141" s="10" t="s">
        <v>1360</v>
      </c>
      <c r="J141" s="7" t="s">
        <v>121</v>
      </c>
    </row>
    <row r="142" ht="22.5" customHeight="1">
      <c r="A142" s="9">
        <v>46222.04879652778</v>
      </c>
      <c r="B142" s="10" t="s">
        <v>1596</v>
      </c>
      <c r="C142" s="10" t="s">
        <v>470</v>
      </c>
      <c r="D142" s="10" t="s">
        <v>1597</v>
      </c>
      <c r="E142" s="10" t="s">
        <v>136</v>
      </c>
      <c r="F142" s="10" t="s">
        <v>471</v>
      </c>
      <c r="G142" s="11" t="s">
        <v>472</v>
      </c>
      <c r="H142" s="10" t="s">
        <v>12</v>
      </c>
      <c r="I142" s="10" t="s">
        <v>1598</v>
      </c>
      <c r="J142" s="7" t="s">
        <v>121</v>
      </c>
    </row>
    <row r="143" ht="22.5" customHeight="1">
      <c r="A143" s="9">
        <v>46222.10045114583</v>
      </c>
      <c r="B143" s="10" t="s">
        <v>1599</v>
      </c>
      <c r="C143" s="10" t="s">
        <v>473</v>
      </c>
      <c r="D143" s="10" t="s">
        <v>1600</v>
      </c>
      <c r="E143" s="10" t="s">
        <v>1500</v>
      </c>
      <c r="F143" s="10" t="s">
        <v>474</v>
      </c>
      <c r="G143" s="11" t="s">
        <v>475</v>
      </c>
      <c r="H143" s="10" t="s">
        <v>12</v>
      </c>
      <c r="I143" s="10" t="s">
        <v>1601</v>
      </c>
      <c r="J143" s="7" t="s">
        <v>121</v>
      </c>
    </row>
    <row r="144" ht="22.5" customHeight="1">
      <c r="A144" s="9">
        <v>46222.116143900465</v>
      </c>
      <c r="B144" s="10" t="s">
        <v>1602</v>
      </c>
      <c r="C144" s="10" t="s">
        <v>477</v>
      </c>
      <c r="D144" s="10" t="s">
        <v>1597</v>
      </c>
      <c r="E144" s="10" t="s">
        <v>1603</v>
      </c>
      <c r="F144" s="10" t="s">
        <v>478</v>
      </c>
      <c r="G144" s="11" t="s">
        <v>479</v>
      </c>
      <c r="H144" s="10" t="s">
        <v>63</v>
      </c>
      <c r="I144" s="10" t="s">
        <v>720</v>
      </c>
      <c r="J144" s="7" t="s">
        <v>121</v>
      </c>
    </row>
    <row r="145" ht="22.5" customHeight="1">
      <c r="A145" s="9">
        <v>46222.13076826389</v>
      </c>
      <c r="B145" s="10" t="s">
        <v>1604</v>
      </c>
      <c r="C145" s="10" t="s">
        <v>480</v>
      </c>
      <c r="D145" s="10" t="s">
        <v>1340</v>
      </c>
      <c r="E145" s="10" t="s">
        <v>1605</v>
      </c>
      <c r="F145" s="10" t="s">
        <v>481</v>
      </c>
      <c r="G145" s="11" t="s">
        <v>482</v>
      </c>
      <c r="H145" s="10" t="s">
        <v>8</v>
      </c>
      <c r="I145" s="10" t="s">
        <v>1606</v>
      </c>
      <c r="J145" s="7" t="s">
        <v>121</v>
      </c>
    </row>
    <row r="146" ht="22.5" customHeight="1">
      <c r="A146" s="9">
        <v>46222.39339273148</v>
      </c>
      <c r="B146" s="10" t="s">
        <v>1607</v>
      </c>
      <c r="C146" s="10" t="s">
        <v>483</v>
      </c>
      <c r="D146" s="10" t="s">
        <v>1608</v>
      </c>
      <c r="E146" s="10" t="s">
        <v>500</v>
      </c>
      <c r="F146" s="10" t="s">
        <v>484</v>
      </c>
      <c r="G146" s="11" t="s">
        <v>485</v>
      </c>
      <c r="H146" s="10" t="s">
        <v>8</v>
      </c>
      <c r="I146" s="10" t="s">
        <v>1609</v>
      </c>
      <c r="J146" s="7" t="s">
        <v>121</v>
      </c>
    </row>
    <row r="147" ht="22.5" customHeight="1">
      <c r="A147" s="9">
        <v>46222.50545710648</v>
      </c>
      <c r="B147" s="10" t="s">
        <v>1610</v>
      </c>
      <c r="C147" s="10" t="s">
        <v>486</v>
      </c>
      <c r="D147" s="10" t="s">
        <v>1611</v>
      </c>
      <c r="E147" s="10" t="s">
        <v>1612</v>
      </c>
      <c r="F147" s="10" t="s">
        <v>488</v>
      </c>
      <c r="G147" s="11" t="s">
        <v>489</v>
      </c>
      <c r="H147" s="10" t="s">
        <v>23</v>
      </c>
      <c r="I147" s="10" t="s">
        <v>785</v>
      </c>
      <c r="J147" s="10" t="s">
        <v>121</v>
      </c>
    </row>
    <row r="148" ht="22.5" customHeight="1">
      <c r="A148" s="9">
        <v>46222.613109432874</v>
      </c>
      <c r="B148" s="10" t="s">
        <v>1613</v>
      </c>
      <c r="C148" s="10" t="s">
        <v>490</v>
      </c>
      <c r="D148" s="10" t="s">
        <v>1614</v>
      </c>
      <c r="E148" s="10" t="s">
        <v>111</v>
      </c>
      <c r="F148" s="10" t="s">
        <v>491</v>
      </c>
      <c r="G148" s="11" t="s">
        <v>492</v>
      </c>
      <c r="H148" s="10" t="s">
        <v>23</v>
      </c>
      <c r="I148" s="10" t="s">
        <v>1615</v>
      </c>
      <c r="J148" s="12" t="str">
        <f>IFERROR(__xludf.DUMMYFUNCTION("AI(""Fill an appropriate value for this cell based on the table context"")"),"YES")</f>
        <v>YES</v>
      </c>
    </row>
    <row r="149" ht="22.5" customHeight="1">
      <c r="A149" s="9">
        <v>46222.614550659724</v>
      </c>
      <c r="B149" s="10" t="s">
        <v>1616</v>
      </c>
      <c r="C149" s="10" t="s">
        <v>493</v>
      </c>
      <c r="D149" s="10" t="s">
        <v>1617</v>
      </c>
      <c r="E149" s="10" t="s">
        <v>136</v>
      </c>
      <c r="F149" s="10" t="s">
        <v>494</v>
      </c>
      <c r="G149" s="11" t="s">
        <v>495</v>
      </c>
      <c r="H149" s="10" t="s">
        <v>23</v>
      </c>
      <c r="I149" s="10" t="s">
        <v>1618</v>
      </c>
      <c r="J149" s="12" t="str">
        <f>IFERROR(__xludf.DUMMYFUNCTION("AI(""Fill an appropriate value for this cell based on the table context"")"),"YES")</f>
        <v>YES</v>
      </c>
    </row>
    <row r="150" ht="22.5" customHeight="1">
      <c r="A150" s="9">
        <v>46222.641338761576</v>
      </c>
      <c r="B150" s="10" t="s">
        <v>1619</v>
      </c>
      <c r="C150" s="10" t="s">
        <v>497</v>
      </c>
      <c r="D150" s="10" t="s">
        <v>1620</v>
      </c>
      <c r="E150" s="10" t="s">
        <v>1285</v>
      </c>
      <c r="F150" s="10" t="s">
        <v>498</v>
      </c>
      <c r="G150" s="11" t="s">
        <v>499</v>
      </c>
      <c r="H150" s="10" t="s">
        <v>8</v>
      </c>
      <c r="I150" s="10" t="s">
        <v>330</v>
      </c>
      <c r="J150" s="12" t="str">
        <f>IFERROR(__xludf.DUMMYFUNCTION("AI(""Fill an appropriate value for this cell based on the table context"")"),"YES")</f>
        <v>YES</v>
      </c>
    </row>
    <row r="151" ht="22.5" customHeight="1">
      <c r="A151" s="9">
        <v>46222.64161157407</v>
      </c>
      <c r="B151" s="10" t="s">
        <v>1621</v>
      </c>
      <c r="C151" s="10" t="s">
        <v>501</v>
      </c>
      <c r="D151" s="10" t="s">
        <v>1620</v>
      </c>
      <c r="E151" s="10" t="s">
        <v>136</v>
      </c>
      <c r="F151" s="10" t="s">
        <v>502</v>
      </c>
      <c r="G151" s="11" t="s">
        <v>503</v>
      </c>
      <c r="H151" s="10" t="s">
        <v>12</v>
      </c>
      <c r="I151" s="10" t="s">
        <v>1622</v>
      </c>
      <c r="J151" s="12" t="str">
        <f>IFERROR(__xludf.DUMMYFUNCTION("AI(""Fill an appropriate value for this cell based on the table context"")"),"YES")</f>
        <v>YES</v>
      </c>
    </row>
    <row r="152" ht="22.5" customHeight="1">
      <c r="A152" s="9">
        <v>46222.650331666664</v>
      </c>
      <c r="B152" s="10" t="s">
        <v>1623</v>
      </c>
      <c r="C152" s="10" t="s">
        <v>504</v>
      </c>
      <c r="D152" s="10" t="s">
        <v>1620</v>
      </c>
      <c r="E152" s="10" t="s">
        <v>1624</v>
      </c>
      <c r="F152" s="10" t="s">
        <v>505</v>
      </c>
      <c r="G152" s="11" t="s">
        <v>506</v>
      </c>
      <c r="H152" s="10" t="s">
        <v>23</v>
      </c>
      <c r="I152" s="10" t="s">
        <v>1625</v>
      </c>
      <c r="J152" s="12" t="str">
        <f>IFERROR(__xludf.DUMMYFUNCTION("AI(""Fill an appropriate value for this cell based on the table context"")"),"YES")</f>
        <v>YES</v>
      </c>
    </row>
    <row r="153" ht="22.5" customHeight="1">
      <c r="A153" s="9">
        <v>46222.65198814815</v>
      </c>
      <c r="B153" s="10" t="s">
        <v>1626</v>
      </c>
      <c r="C153" s="10" t="s">
        <v>507</v>
      </c>
      <c r="D153" s="10" t="s">
        <v>1627</v>
      </c>
      <c r="E153" s="10" t="s">
        <v>1285</v>
      </c>
      <c r="F153" s="10" t="s">
        <v>508</v>
      </c>
      <c r="G153" s="11" t="s">
        <v>509</v>
      </c>
      <c r="H153" s="10" t="s">
        <v>8</v>
      </c>
      <c r="I153" s="10" t="s">
        <v>1439</v>
      </c>
      <c r="J153" s="12" t="str">
        <f>IFERROR(__xludf.DUMMYFUNCTION("AI(""Fill an appropriate value for this cell based on the table context"")"),"YES")</f>
        <v>YES</v>
      </c>
    </row>
    <row r="154" ht="22.5" customHeight="1">
      <c r="A154" s="9">
        <v>46222.6521016551</v>
      </c>
      <c r="B154" s="10" t="s">
        <v>1628</v>
      </c>
      <c r="C154" s="10" t="s">
        <v>510</v>
      </c>
      <c r="D154" s="10" t="s">
        <v>1629</v>
      </c>
      <c r="E154" s="10" t="s">
        <v>1630</v>
      </c>
      <c r="F154" s="10" t="s">
        <v>511</v>
      </c>
      <c r="G154" s="11" t="s">
        <v>512</v>
      </c>
      <c r="H154" s="10" t="s">
        <v>80</v>
      </c>
      <c r="I154" s="10" t="s">
        <v>1631</v>
      </c>
      <c r="J154" s="12" t="str">
        <f>IFERROR(__xludf.DUMMYFUNCTION("AI(""Fill an appropriate value for this cell based on the table context"")"),"YES")</f>
        <v>YES</v>
      </c>
    </row>
    <row r="155" ht="22.5" customHeight="1">
      <c r="A155" s="9">
        <v>46222.65478005787</v>
      </c>
      <c r="B155" s="10" t="s">
        <v>1632</v>
      </c>
      <c r="C155" s="10" t="s">
        <v>514</v>
      </c>
      <c r="D155" s="10" t="s">
        <v>1474</v>
      </c>
      <c r="E155" s="10" t="s">
        <v>1633</v>
      </c>
      <c r="F155" s="10" t="s">
        <v>515</v>
      </c>
      <c r="G155" s="11" t="s">
        <v>516</v>
      </c>
      <c r="H155" s="10" t="s">
        <v>12</v>
      </c>
      <c r="I155" s="10" t="s">
        <v>1634</v>
      </c>
      <c r="J155" s="12" t="str">
        <f>IFERROR(__xludf.DUMMYFUNCTION("AI(""Fill an appropriate value for this cell based on the table context"")"),"YES")</f>
        <v>YES</v>
      </c>
    </row>
    <row r="156" ht="22.5" customHeight="1">
      <c r="A156" s="9">
        <v>46222.65854788195</v>
      </c>
      <c r="B156" s="10" t="s">
        <v>1635</v>
      </c>
      <c r="C156" s="10" t="s">
        <v>517</v>
      </c>
      <c r="D156" s="10" t="s">
        <v>1552</v>
      </c>
      <c r="E156" s="10" t="s">
        <v>861</v>
      </c>
      <c r="F156" s="10" t="s">
        <v>518</v>
      </c>
      <c r="G156" s="11" t="s">
        <v>519</v>
      </c>
      <c r="H156" s="10" t="s">
        <v>8</v>
      </c>
      <c r="I156" s="10" t="s">
        <v>625</v>
      </c>
      <c r="J156" s="12" t="str">
        <f>IFERROR(__xludf.DUMMYFUNCTION("AI(""Fill an appropriate value for this cell based on the table context"")"),"YES")</f>
        <v>YES</v>
      </c>
    </row>
    <row r="157" ht="22.5" customHeight="1">
      <c r="A157" s="9">
        <v>46222.6587571412</v>
      </c>
      <c r="B157" s="10" t="s">
        <v>1636</v>
      </c>
      <c r="C157" s="10" t="s">
        <v>520</v>
      </c>
      <c r="D157" s="10" t="s">
        <v>1474</v>
      </c>
      <c r="E157" s="10" t="s">
        <v>1637</v>
      </c>
      <c r="F157" s="10" t="s">
        <v>521</v>
      </c>
      <c r="G157" s="11" t="s">
        <v>522</v>
      </c>
      <c r="H157" s="10" t="s">
        <v>12</v>
      </c>
      <c r="I157" s="10" t="s">
        <v>1360</v>
      </c>
      <c r="J157" s="12" t="str">
        <f>IFERROR(__xludf.DUMMYFUNCTION("AI(""Fill an appropriate value for this cell based on the table context"")"),"YES")</f>
        <v>YES</v>
      </c>
    </row>
    <row r="158" ht="22.5" customHeight="1">
      <c r="A158" s="9">
        <v>46222.66440563658</v>
      </c>
      <c r="B158" s="10" t="s">
        <v>1638</v>
      </c>
      <c r="C158" s="10" t="s">
        <v>523</v>
      </c>
      <c r="D158" s="10" t="s">
        <v>1614</v>
      </c>
      <c r="E158" s="10" t="s">
        <v>1639</v>
      </c>
      <c r="F158" s="10" t="s">
        <v>524</v>
      </c>
      <c r="G158" s="11" t="s">
        <v>525</v>
      </c>
      <c r="H158" s="10" t="s">
        <v>12</v>
      </c>
      <c r="I158" s="10" t="s">
        <v>330</v>
      </c>
      <c r="J158" s="12" t="str">
        <f>IFERROR(__xludf.DUMMYFUNCTION("AI(""Fill an appropriate value for this cell based on the table context"")"),"YES")</f>
        <v>YES</v>
      </c>
    </row>
    <row r="159" ht="22.5" customHeight="1">
      <c r="A159" s="9">
        <v>46222.72511230324</v>
      </c>
      <c r="B159" s="10" t="s">
        <v>1640</v>
      </c>
      <c r="C159" s="10" t="s">
        <v>527</v>
      </c>
      <c r="D159" s="10">
        <v>51.0</v>
      </c>
      <c r="E159" s="10" t="s">
        <v>1285</v>
      </c>
      <c r="F159" s="10" t="s">
        <v>528</v>
      </c>
      <c r="G159" s="11" t="s">
        <v>529</v>
      </c>
      <c r="H159" s="10" t="s">
        <v>8</v>
      </c>
      <c r="I159" s="10" t="s">
        <v>1641</v>
      </c>
      <c r="J159" s="12" t="str">
        <f>IFERROR(__xludf.DUMMYFUNCTION("AI(""Fill an appropriate value for this cell based on the table context"")"),"YES")</f>
        <v>YES</v>
      </c>
    </row>
    <row r="160" ht="22.5" customHeight="1">
      <c r="A160" s="9">
        <v>46222.75242189815</v>
      </c>
      <c r="B160" s="10" t="s">
        <v>1642</v>
      </c>
      <c r="C160" s="10" t="s">
        <v>530</v>
      </c>
      <c r="D160" s="10" t="s">
        <v>1388</v>
      </c>
      <c r="E160" s="10" t="s">
        <v>1643</v>
      </c>
      <c r="F160" s="10" t="s">
        <v>531</v>
      </c>
      <c r="G160" s="11" t="s">
        <v>532</v>
      </c>
      <c r="H160" s="10" t="s">
        <v>23</v>
      </c>
      <c r="I160" s="10" t="s">
        <v>1644</v>
      </c>
      <c r="J160" s="12" t="str">
        <f>IFERROR(__xludf.DUMMYFUNCTION("AI(""Fill an appropriate value for this cell based on the table context"")"),"YES")</f>
        <v>YES</v>
      </c>
    </row>
    <row r="161" ht="22.5" customHeight="1">
      <c r="A161" s="9">
        <v>46222.81627163195</v>
      </c>
      <c r="B161" s="10" t="s">
        <v>1645</v>
      </c>
      <c r="C161" s="10" t="s">
        <v>533</v>
      </c>
      <c r="D161" s="10" t="s">
        <v>1646</v>
      </c>
      <c r="E161" s="10" t="s">
        <v>1647</v>
      </c>
      <c r="F161" s="10" t="s">
        <v>534</v>
      </c>
      <c r="G161" s="11" t="s">
        <v>535</v>
      </c>
      <c r="H161" s="10" t="s">
        <v>12</v>
      </c>
      <c r="I161" s="10" t="s">
        <v>1648</v>
      </c>
      <c r="J161" s="12" t="str">
        <f>IFERROR(__xludf.DUMMYFUNCTION("AI(""Fill an appropriate value for this cell based on the table context"")"),"YES")</f>
        <v>YES</v>
      </c>
    </row>
    <row r="162" ht="22.5" customHeight="1">
      <c r="A162" s="9">
        <v>46222.824427071755</v>
      </c>
      <c r="B162" s="10" t="s">
        <v>1649</v>
      </c>
      <c r="C162" s="10" t="s">
        <v>536</v>
      </c>
      <c r="D162" s="10" t="s">
        <v>1650</v>
      </c>
      <c r="E162" s="10" t="s">
        <v>1525</v>
      </c>
      <c r="F162" s="10" t="s">
        <v>537</v>
      </c>
      <c r="G162" s="11" t="s">
        <v>538</v>
      </c>
      <c r="H162" s="10" t="s">
        <v>539</v>
      </c>
      <c r="I162" s="10" t="s">
        <v>1651</v>
      </c>
      <c r="J162" s="12" t="str">
        <f>IFERROR(__xludf.DUMMYFUNCTION("AI(""Fill an appropriate value for this cell based on the table context"")"),"YES")</f>
        <v>YES</v>
      </c>
    </row>
    <row r="163" ht="22.5" customHeight="1">
      <c r="A163" s="9">
        <v>46222.83262054398</v>
      </c>
      <c r="B163" s="10" t="s">
        <v>1652</v>
      </c>
      <c r="C163" s="10" t="s">
        <v>541</v>
      </c>
      <c r="D163" s="10">
        <v>39.0</v>
      </c>
      <c r="E163" s="10" t="s">
        <v>1653</v>
      </c>
      <c r="F163" s="10" t="s">
        <v>542</v>
      </c>
      <c r="G163" s="11" t="s">
        <v>543</v>
      </c>
      <c r="H163" s="10" t="s">
        <v>12</v>
      </c>
      <c r="I163" s="10" t="s">
        <v>1654</v>
      </c>
      <c r="J163" s="12" t="str">
        <f>IFERROR(__xludf.DUMMYFUNCTION("AI(""Fill an appropriate value for this cell based on the table context"")"),"YES")</f>
        <v>YES</v>
      </c>
    </row>
    <row r="164" ht="22.5" customHeight="1">
      <c r="A164" s="9">
        <v>46222.83282487269</v>
      </c>
      <c r="B164" s="10" t="s">
        <v>1655</v>
      </c>
      <c r="C164" s="10" t="s">
        <v>544</v>
      </c>
      <c r="D164" s="10" t="s">
        <v>1656</v>
      </c>
      <c r="E164" s="10" t="s">
        <v>610</v>
      </c>
      <c r="F164" s="10" t="s">
        <v>545</v>
      </c>
      <c r="G164" s="11" t="s">
        <v>546</v>
      </c>
      <c r="H164" s="10" t="s">
        <v>63</v>
      </c>
      <c r="I164" s="10" t="s">
        <v>1657</v>
      </c>
      <c r="J164" s="12" t="str">
        <f>IFERROR(__xludf.DUMMYFUNCTION("AI(""Fill an appropriate value for this cell based on the table context"")"),"YES")</f>
        <v>YES</v>
      </c>
    </row>
    <row r="165" ht="22.5" customHeight="1">
      <c r="A165" s="9">
        <v>46222.838332280095</v>
      </c>
      <c r="B165" s="10" t="s">
        <v>1658</v>
      </c>
      <c r="C165" s="10" t="s">
        <v>547</v>
      </c>
      <c r="D165" s="10" t="s">
        <v>1510</v>
      </c>
      <c r="E165" s="10" t="s">
        <v>1659</v>
      </c>
      <c r="F165" s="10" t="s">
        <v>548</v>
      </c>
      <c r="G165" s="11" t="s">
        <v>549</v>
      </c>
      <c r="H165" s="10" t="s">
        <v>12</v>
      </c>
      <c r="I165" s="10" t="s">
        <v>1622</v>
      </c>
      <c r="J165" s="12" t="str">
        <f>IFERROR(__xludf.DUMMYFUNCTION("AI(""Fill an appropriate value for this cell based on the table context"")"),"YES")</f>
        <v>YES</v>
      </c>
    </row>
    <row r="166" ht="22.5" customHeight="1">
      <c r="A166" s="9">
        <v>46222.84081164352</v>
      </c>
      <c r="B166" s="10" t="s">
        <v>1660</v>
      </c>
      <c r="C166" s="10" t="s">
        <v>550</v>
      </c>
      <c r="D166" s="10" t="s">
        <v>1510</v>
      </c>
      <c r="E166" s="10" t="s">
        <v>1630</v>
      </c>
      <c r="F166" s="10" t="s">
        <v>551</v>
      </c>
      <c r="G166" s="11" t="s">
        <v>552</v>
      </c>
      <c r="H166" s="10" t="s">
        <v>12</v>
      </c>
      <c r="I166" s="10" t="s">
        <v>1573</v>
      </c>
      <c r="J166" s="12" t="str">
        <f>IFERROR(__xludf.DUMMYFUNCTION("AI(""Fill an appropriate value for this cell based on the table context"")"),"YES")</f>
        <v>YES</v>
      </c>
    </row>
    <row r="167" ht="22.5" customHeight="1">
      <c r="A167" s="9">
        <v>46222.84974831018</v>
      </c>
      <c r="B167" s="10">
        <v>1.0</v>
      </c>
      <c r="C167" s="10" t="s">
        <v>1661</v>
      </c>
      <c r="D167" s="10" t="s">
        <v>1662</v>
      </c>
      <c r="E167" s="10" t="s">
        <v>500</v>
      </c>
      <c r="F167" s="10" t="s">
        <v>1663</v>
      </c>
      <c r="G167" s="11" t="s">
        <v>1664</v>
      </c>
      <c r="H167" s="10" t="s">
        <v>12</v>
      </c>
      <c r="I167" s="10" t="s">
        <v>1573</v>
      </c>
      <c r="J167" s="10" t="s">
        <v>95</v>
      </c>
    </row>
    <row r="168" ht="22.5" customHeight="1">
      <c r="A168" s="9">
        <v>46222.85925115741</v>
      </c>
      <c r="B168" s="10" t="s">
        <v>1665</v>
      </c>
      <c r="C168" s="10" t="s">
        <v>553</v>
      </c>
      <c r="D168" s="10" t="s">
        <v>1666</v>
      </c>
      <c r="E168" s="10" t="s">
        <v>1285</v>
      </c>
      <c r="F168" s="10" t="s">
        <v>554</v>
      </c>
      <c r="G168" s="11" t="s">
        <v>555</v>
      </c>
      <c r="H168" s="10" t="s">
        <v>23</v>
      </c>
      <c r="I168" s="10" t="s">
        <v>358</v>
      </c>
      <c r="J168" s="10" t="s">
        <v>121</v>
      </c>
    </row>
    <row r="169" ht="22.5" customHeight="1">
      <c r="A169" s="9">
        <v>46222.864540636576</v>
      </c>
      <c r="B169" s="10" t="s">
        <v>1667</v>
      </c>
      <c r="C169" s="10" t="s">
        <v>556</v>
      </c>
      <c r="D169" s="10" t="s">
        <v>1668</v>
      </c>
      <c r="E169" s="10" t="s">
        <v>1669</v>
      </c>
      <c r="F169" s="10" t="s">
        <v>557</v>
      </c>
      <c r="G169" s="11" t="s">
        <v>558</v>
      </c>
      <c r="H169" s="10" t="s">
        <v>23</v>
      </c>
      <c r="I169" s="10" t="s">
        <v>1670</v>
      </c>
      <c r="J169" s="10" t="s">
        <v>121</v>
      </c>
    </row>
    <row r="170" ht="22.5" customHeight="1">
      <c r="A170" s="9">
        <v>46222.876865451384</v>
      </c>
      <c r="B170" s="10" t="s">
        <v>1671</v>
      </c>
      <c r="C170" s="10" t="s">
        <v>560</v>
      </c>
      <c r="D170" s="10" t="s">
        <v>1672</v>
      </c>
      <c r="E170" s="10" t="s">
        <v>1673</v>
      </c>
      <c r="F170" s="10" t="s">
        <v>561</v>
      </c>
      <c r="G170" s="11" t="s">
        <v>562</v>
      </c>
      <c r="H170" s="10" t="s">
        <v>98</v>
      </c>
      <c r="I170" s="10" t="s">
        <v>1674</v>
      </c>
      <c r="J170" s="12" t="str">
        <f>IFERROR(__xludf.DUMMYFUNCTION("AI(""Fill an appropriate value for this cell based on the table context"")"),"YES")</f>
        <v>YES</v>
      </c>
    </row>
    <row r="171" ht="22.5" customHeight="1">
      <c r="A171" s="9">
        <v>46222.88091015046</v>
      </c>
      <c r="B171" s="10" t="s">
        <v>1675</v>
      </c>
      <c r="C171" s="10" t="s">
        <v>563</v>
      </c>
      <c r="D171" s="10" t="s">
        <v>1676</v>
      </c>
      <c r="E171" s="10" t="s">
        <v>1091</v>
      </c>
      <c r="F171" s="10" t="s">
        <v>564</v>
      </c>
      <c r="G171" s="11" t="s">
        <v>565</v>
      </c>
      <c r="H171" s="10" t="s">
        <v>12</v>
      </c>
      <c r="I171" s="10" t="s">
        <v>1677</v>
      </c>
      <c r="J171" s="12" t="str">
        <f>IFERROR(__xludf.DUMMYFUNCTION("AI(""Fill an appropriate value for this cell based on the table context"")"),"YES")</f>
        <v>YES</v>
      </c>
    </row>
    <row r="172" ht="22.5" customHeight="1">
      <c r="A172" s="9">
        <v>46222.883199814816</v>
      </c>
      <c r="B172" s="10" t="s">
        <v>1678</v>
      </c>
      <c r="C172" s="10" t="s">
        <v>566</v>
      </c>
      <c r="D172" s="10" t="s">
        <v>1413</v>
      </c>
      <c r="E172" s="10" t="s">
        <v>1572</v>
      </c>
      <c r="F172" s="10" t="s">
        <v>567</v>
      </c>
      <c r="G172" s="11" t="s">
        <v>568</v>
      </c>
      <c r="H172" s="10" t="s">
        <v>23</v>
      </c>
      <c r="I172" s="10" t="s">
        <v>358</v>
      </c>
      <c r="J172" s="12" t="str">
        <f>IFERROR(__xludf.DUMMYFUNCTION("AI(""Fill an appropriate value for this cell based on the table context"")"),"YES")</f>
        <v>YES</v>
      </c>
    </row>
    <row r="173" ht="22.5" customHeight="1">
      <c r="A173" s="9">
        <v>46222.8835068287</v>
      </c>
      <c r="B173" s="10" t="s">
        <v>1679</v>
      </c>
      <c r="C173" s="10" t="s">
        <v>569</v>
      </c>
      <c r="D173" s="10" t="s">
        <v>1680</v>
      </c>
      <c r="E173" s="10" t="s">
        <v>1681</v>
      </c>
      <c r="F173" s="10" t="s">
        <v>570</v>
      </c>
      <c r="G173" s="11" t="s">
        <v>571</v>
      </c>
      <c r="H173" s="10" t="s">
        <v>12</v>
      </c>
      <c r="I173" s="10" t="s">
        <v>1682</v>
      </c>
      <c r="J173" s="12" t="str">
        <f>IFERROR(__xludf.DUMMYFUNCTION("AI(""Fill an appropriate value for this cell based on the table context"")"),"YES")</f>
        <v>YES</v>
      </c>
    </row>
    <row r="174" ht="22.5" customHeight="1">
      <c r="A174" s="9">
        <v>46222.93540901621</v>
      </c>
      <c r="B174" s="10" t="s">
        <v>1683</v>
      </c>
      <c r="C174" s="10" t="s">
        <v>573</v>
      </c>
      <c r="D174" s="10" t="s">
        <v>1684</v>
      </c>
      <c r="E174" s="10" t="s">
        <v>1685</v>
      </c>
      <c r="F174" s="10" t="s">
        <v>574</v>
      </c>
      <c r="G174" s="11" t="s">
        <v>575</v>
      </c>
      <c r="H174" s="10" t="s">
        <v>23</v>
      </c>
      <c r="I174" s="10" t="s">
        <v>1686</v>
      </c>
      <c r="J174" s="12" t="str">
        <f>IFERROR(__xludf.DUMMYFUNCTION("AI(""Fill an appropriate value for this cell based on the table context"")"),"YES")</f>
        <v>YES</v>
      </c>
    </row>
    <row r="175" ht="22.5" customHeight="1">
      <c r="A175" s="9">
        <v>46222.93545853009</v>
      </c>
      <c r="B175" s="10" t="s">
        <v>1687</v>
      </c>
      <c r="C175" s="10" t="s">
        <v>576</v>
      </c>
      <c r="D175" s="10" t="s">
        <v>1688</v>
      </c>
      <c r="E175" s="10" t="s">
        <v>1673</v>
      </c>
      <c r="F175" s="10" t="s">
        <v>577</v>
      </c>
      <c r="G175" s="11" t="s">
        <v>578</v>
      </c>
      <c r="H175" s="10" t="s">
        <v>23</v>
      </c>
      <c r="I175" s="10" t="s">
        <v>1689</v>
      </c>
      <c r="J175" s="12" t="str">
        <f>IFERROR(__xludf.DUMMYFUNCTION("AI(""Fill an appropriate value for this cell based on the table context"")"),"YES")</f>
        <v>YES</v>
      </c>
    </row>
    <row r="176" ht="22.5" customHeight="1">
      <c r="A176" s="9">
        <v>46222.94096146991</v>
      </c>
      <c r="B176" s="10" t="s">
        <v>1690</v>
      </c>
      <c r="C176" s="10" t="s">
        <v>579</v>
      </c>
      <c r="D176" s="10" t="s">
        <v>1691</v>
      </c>
      <c r="E176" s="10" t="s">
        <v>1692</v>
      </c>
      <c r="F176" s="10" t="s">
        <v>580</v>
      </c>
      <c r="G176" s="11" t="s">
        <v>581</v>
      </c>
      <c r="H176" s="10" t="s">
        <v>12</v>
      </c>
      <c r="I176" s="10" t="s">
        <v>1275</v>
      </c>
      <c r="J176" s="12" t="str">
        <f>IFERROR(__xludf.DUMMYFUNCTION("AI(""Fill an appropriate value for this cell based on the table context"")"),"YES")</f>
        <v>YES</v>
      </c>
    </row>
    <row r="177" ht="22.5" customHeight="1">
      <c r="A177" s="9">
        <v>46222.94752793982</v>
      </c>
      <c r="B177" s="10" t="s">
        <v>1693</v>
      </c>
      <c r="C177" s="10" t="s">
        <v>582</v>
      </c>
      <c r="D177" s="10" t="s">
        <v>1278</v>
      </c>
      <c r="E177" s="10" t="s">
        <v>1694</v>
      </c>
      <c r="F177" s="10" t="s">
        <v>583</v>
      </c>
      <c r="G177" s="11" t="s">
        <v>584</v>
      </c>
      <c r="H177" s="10" t="s">
        <v>12</v>
      </c>
      <c r="I177" s="10" t="s">
        <v>1695</v>
      </c>
      <c r="J177" s="12" t="str">
        <f>IFERROR(__xludf.DUMMYFUNCTION("AI(""Fill an appropriate value for this cell based on the table context"")"),"YES")</f>
        <v>YES</v>
      </c>
    </row>
    <row r="178" ht="22.5" customHeight="1">
      <c r="A178" s="9">
        <v>46222.95876263889</v>
      </c>
      <c r="B178" s="10" t="s">
        <v>1696</v>
      </c>
      <c r="C178" s="10" t="s">
        <v>586</v>
      </c>
      <c r="D178" s="10">
        <v>51.0</v>
      </c>
      <c r="E178" s="10" t="s">
        <v>1697</v>
      </c>
      <c r="F178" s="10" t="s">
        <v>587</v>
      </c>
      <c r="G178" s="11" t="s">
        <v>588</v>
      </c>
      <c r="H178" s="10" t="s">
        <v>23</v>
      </c>
      <c r="I178" s="10" t="s">
        <v>1698</v>
      </c>
      <c r="J178" s="12" t="str">
        <f>IFERROR(__xludf.DUMMYFUNCTION("AI(""Fill an appropriate value for this cell based on the table context"")"),"YES")</f>
        <v>YES</v>
      </c>
    </row>
    <row r="179" ht="22.5" customHeight="1">
      <c r="A179" s="9">
        <v>46222.988357800925</v>
      </c>
      <c r="B179" s="10" t="s">
        <v>1699</v>
      </c>
      <c r="C179" s="10" t="s">
        <v>589</v>
      </c>
      <c r="D179" s="10" t="s">
        <v>1700</v>
      </c>
      <c r="E179" s="10" t="s">
        <v>1701</v>
      </c>
      <c r="F179" s="10" t="s">
        <v>590</v>
      </c>
      <c r="G179" s="11" t="s">
        <v>591</v>
      </c>
      <c r="H179" s="10" t="s">
        <v>8</v>
      </c>
      <c r="I179" s="10" t="s">
        <v>1702</v>
      </c>
      <c r="J179" s="12" t="str">
        <f>IFERROR(__xludf.DUMMYFUNCTION("AI(""Fill an appropriate value for this cell based on the table context"")"),"YES")</f>
        <v>YES</v>
      </c>
    </row>
    <row r="180" ht="22.5" customHeight="1">
      <c r="A180" s="9">
        <v>46222.99436628472</v>
      </c>
      <c r="B180" s="10">
        <v>350.0</v>
      </c>
      <c r="C180" s="10" t="s">
        <v>632</v>
      </c>
      <c r="D180" s="10" t="s">
        <v>1344</v>
      </c>
      <c r="E180" s="10" t="s">
        <v>1647</v>
      </c>
      <c r="F180" s="10" t="s">
        <v>633</v>
      </c>
      <c r="G180" s="10" t="s">
        <v>1703</v>
      </c>
      <c r="H180" s="10" t="s">
        <v>23</v>
      </c>
      <c r="I180" s="10" t="s">
        <v>1704</v>
      </c>
      <c r="J180" s="10" t="s">
        <v>95</v>
      </c>
    </row>
    <row r="181" ht="22.5" customHeight="1">
      <c r="A181" s="9">
        <v>46223.000067534726</v>
      </c>
      <c r="B181" s="10" t="s">
        <v>1705</v>
      </c>
      <c r="C181" s="10" t="s">
        <v>592</v>
      </c>
      <c r="D181" s="10" t="s">
        <v>1706</v>
      </c>
      <c r="E181" s="10" t="s">
        <v>1707</v>
      </c>
      <c r="F181" s="10" t="s">
        <v>593</v>
      </c>
      <c r="G181" s="11" t="s">
        <v>594</v>
      </c>
      <c r="H181" s="10" t="s">
        <v>8</v>
      </c>
      <c r="I181" s="10" t="s">
        <v>1360</v>
      </c>
      <c r="J181" s="10" t="s">
        <v>121</v>
      </c>
    </row>
    <row r="182" ht="22.5" customHeight="1">
      <c r="A182" s="9">
        <v>46223.01118663195</v>
      </c>
      <c r="B182" s="10" t="s">
        <v>1708</v>
      </c>
      <c r="C182" s="10" t="s">
        <v>595</v>
      </c>
      <c r="D182" s="10" t="s">
        <v>1709</v>
      </c>
      <c r="E182" s="10" t="s">
        <v>1262</v>
      </c>
      <c r="F182" s="10" t="s">
        <v>596</v>
      </c>
      <c r="G182" s="11" t="s">
        <v>597</v>
      </c>
      <c r="H182" s="10" t="s">
        <v>23</v>
      </c>
      <c r="I182" s="10" t="s">
        <v>1710</v>
      </c>
      <c r="J182" s="10" t="s">
        <v>121</v>
      </c>
    </row>
    <row r="183" ht="22.5" customHeight="1">
      <c r="A183" s="9">
        <v>46223.01621369213</v>
      </c>
      <c r="B183" s="10" t="s">
        <v>1711</v>
      </c>
      <c r="C183" s="10" t="s">
        <v>599</v>
      </c>
      <c r="D183" s="10" t="s">
        <v>1712</v>
      </c>
      <c r="E183" s="10" t="s">
        <v>1285</v>
      </c>
      <c r="F183" s="10" t="s">
        <v>600</v>
      </c>
      <c r="G183" s="11" t="s">
        <v>601</v>
      </c>
      <c r="H183" s="10" t="s">
        <v>8</v>
      </c>
      <c r="I183" s="10" t="s">
        <v>1713</v>
      </c>
      <c r="J183" s="10" t="s">
        <v>121</v>
      </c>
    </row>
    <row r="184" ht="22.5" customHeight="1">
      <c r="A184" s="9">
        <v>46223.01745271991</v>
      </c>
      <c r="B184" s="10" t="s">
        <v>1714</v>
      </c>
      <c r="C184" s="10" t="s">
        <v>602</v>
      </c>
      <c r="D184" s="10" t="s">
        <v>1715</v>
      </c>
      <c r="E184" s="10" t="s">
        <v>1605</v>
      </c>
      <c r="F184" s="10" t="s">
        <v>603</v>
      </c>
      <c r="G184" s="11" t="s">
        <v>604</v>
      </c>
      <c r="H184" s="10" t="s">
        <v>12</v>
      </c>
      <c r="I184" s="10" t="s">
        <v>1716</v>
      </c>
      <c r="J184" s="10" t="s">
        <v>121</v>
      </c>
    </row>
    <row r="185" ht="22.5" customHeight="1">
      <c r="A185" s="9">
        <v>46223.05605684027</v>
      </c>
      <c r="B185" s="10" t="s">
        <v>1717</v>
      </c>
      <c r="C185" s="10" t="s">
        <v>605</v>
      </c>
      <c r="D185" s="10" t="s">
        <v>1718</v>
      </c>
      <c r="E185" s="10" t="s">
        <v>1719</v>
      </c>
      <c r="F185" s="10" t="s">
        <v>607</v>
      </c>
      <c r="G185" s="11" t="s">
        <v>608</v>
      </c>
      <c r="H185" s="10" t="s">
        <v>12</v>
      </c>
      <c r="I185" s="10" t="s">
        <v>1720</v>
      </c>
      <c r="J185" s="10" t="s">
        <v>121</v>
      </c>
    </row>
    <row r="186" ht="22.5" customHeight="1">
      <c r="A186" s="9">
        <v>46223.09534969907</v>
      </c>
      <c r="B186" s="10" t="s">
        <v>1721</v>
      </c>
      <c r="C186" s="10" t="s">
        <v>609</v>
      </c>
      <c r="D186" s="10" t="s">
        <v>1722</v>
      </c>
      <c r="E186" s="10" t="s">
        <v>1723</v>
      </c>
      <c r="F186" s="10" t="s">
        <v>611</v>
      </c>
      <c r="G186" s="11" t="s">
        <v>612</v>
      </c>
      <c r="H186" s="10" t="s">
        <v>12</v>
      </c>
      <c r="I186" s="10" t="s">
        <v>1724</v>
      </c>
      <c r="J186" s="10" t="s">
        <v>121</v>
      </c>
    </row>
    <row r="187" ht="22.5" customHeight="1">
      <c r="A187" s="9">
        <v>46223.13090292824</v>
      </c>
      <c r="B187" s="10" t="s">
        <v>1725</v>
      </c>
      <c r="C187" s="10" t="s">
        <v>613</v>
      </c>
      <c r="D187" s="10" t="s">
        <v>1524</v>
      </c>
      <c r="E187" s="10" t="s">
        <v>1726</v>
      </c>
      <c r="F187" s="10" t="s">
        <v>614</v>
      </c>
      <c r="G187" s="11" t="s">
        <v>615</v>
      </c>
      <c r="H187" s="10" t="s">
        <v>8</v>
      </c>
      <c r="I187" s="10" t="s">
        <v>1727</v>
      </c>
      <c r="J187" s="10" t="s">
        <v>121</v>
      </c>
    </row>
    <row r="188" ht="22.5" customHeight="1">
      <c r="A188" s="9">
        <v>46223.131377025464</v>
      </c>
      <c r="B188" s="10" t="s">
        <v>1728</v>
      </c>
      <c r="C188" s="10" t="s">
        <v>616</v>
      </c>
      <c r="D188" s="10" t="s">
        <v>1729</v>
      </c>
      <c r="E188" s="10" t="s">
        <v>1730</v>
      </c>
      <c r="F188" s="10" t="s">
        <v>617</v>
      </c>
      <c r="G188" s="11" t="s">
        <v>618</v>
      </c>
      <c r="H188" s="10" t="s">
        <v>12</v>
      </c>
      <c r="I188" s="10" t="s">
        <v>1731</v>
      </c>
      <c r="J188" s="10" t="s">
        <v>121</v>
      </c>
    </row>
    <row r="189" ht="22.5" customHeight="1">
      <c r="A189" s="9">
        <v>46223.20399288194</v>
      </c>
      <c r="B189" s="10" t="s">
        <v>1732</v>
      </c>
      <c r="C189" s="10" t="s">
        <v>619</v>
      </c>
      <c r="D189" s="10" t="s">
        <v>1733</v>
      </c>
      <c r="E189" s="10" t="s">
        <v>1391</v>
      </c>
      <c r="F189" s="10" t="s">
        <v>620</v>
      </c>
      <c r="G189" s="11" t="s">
        <v>621</v>
      </c>
      <c r="H189" s="10" t="s">
        <v>98</v>
      </c>
      <c r="I189" s="10" t="s">
        <v>1734</v>
      </c>
      <c r="J189" s="10" t="s">
        <v>121</v>
      </c>
    </row>
    <row r="190" ht="22.5" customHeight="1">
      <c r="A190" s="9">
        <v>46223.20571390046</v>
      </c>
      <c r="B190" s="10" t="s">
        <v>1735</v>
      </c>
      <c r="C190" s="10" t="s">
        <v>622</v>
      </c>
      <c r="D190" s="10" t="s">
        <v>1736</v>
      </c>
      <c r="E190" s="10" t="s">
        <v>1737</v>
      </c>
      <c r="F190" s="10" t="s">
        <v>623</v>
      </c>
      <c r="G190" s="11" t="s">
        <v>624</v>
      </c>
      <c r="H190" s="10" t="s">
        <v>63</v>
      </c>
      <c r="I190" s="10" t="s">
        <v>585</v>
      </c>
      <c r="J190" s="10" t="s">
        <v>121</v>
      </c>
    </row>
    <row r="191" ht="22.5" customHeight="1">
      <c r="A191" s="9">
        <v>46223.26624795139</v>
      </c>
      <c r="B191" s="10" t="s">
        <v>1738</v>
      </c>
      <c r="C191" s="10" t="s">
        <v>626</v>
      </c>
      <c r="D191" s="10" t="s">
        <v>1510</v>
      </c>
      <c r="E191" s="10" t="s">
        <v>1739</v>
      </c>
      <c r="F191" s="10" t="s">
        <v>627</v>
      </c>
      <c r="G191" s="11" t="s">
        <v>628</v>
      </c>
      <c r="H191" s="10" t="s">
        <v>12</v>
      </c>
      <c r="I191" s="10" t="s">
        <v>1468</v>
      </c>
      <c r="J191" s="10" t="s">
        <v>121</v>
      </c>
    </row>
    <row r="192" ht="22.5" customHeight="1">
      <c r="A192" s="9">
        <v>46223.48650994213</v>
      </c>
      <c r="B192" s="10" t="s">
        <v>1740</v>
      </c>
      <c r="C192" s="10" t="s">
        <v>629</v>
      </c>
      <c r="D192" s="10" t="s">
        <v>1741</v>
      </c>
      <c r="E192" s="10" t="s">
        <v>1122</v>
      </c>
      <c r="F192" s="10" t="s">
        <v>630</v>
      </c>
      <c r="G192" s="11" t="s">
        <v>631</v>
      </c>
      <c r="H192" s="10" t="s">
        <v>98</v>
      </c>
      <c r="I192" s="10" t="s">
        <v>1742</v>
      </c>
      <c r="J192" s="10" t="s">
        <v>121</v>
      </c>
    </row>
    <row r="193" ht="22.5" customHeight="1">
      <c r="A193" s="9">
        <v>46223.56592039352</v>
      </c>
      <c r="B193" s="11" t="s">
        <v>634</v>
      </c>
      <c r="C193" s="10" t="s">
        <v>632</v>
      </c>
      <c r="D193" s="10" t="s">
        <v>1344</v>
      </c>
      <c r="E193" s="10" t="s">
        <v>1647</v>
      </c>
      <c r="F193" s="10" t="s">
        <v>633</v>
      </c>
      <c r="G193" s="11" t="s">
        <v>634</v>
      </c>
      <c r="H193" s="10" t="s">
        <v>23</v>
      </c>
      <c r="I193" s="10" t="s">
        <v>1743</v>
      </c>
      <c r="J193" s="10" t="s">
        <v>121</v>
      </c>
    </row>
    <row r="194" ht="22.5" customHeight="1">
      <c r="A194" s="9">
        <v>46223.585486076394</v>
      </c>
      <c r="B194" s="10" t="s">
        <v>1744</v>
      </c>
      <c r="C194" s="10" t="s">
        <v>636</v>
      </c>
      <c r="D194" s="10" t="s">
        <v>1745</v>
      </c>
      <c r="E194" s="10" t="s">
        <v>1746</v>
      </c>
      <c r="F194" s="10" t="s">
        <v>637</v>
      </c>
      <c r="G194" s="11" t="s">
        <v>638</v>
      </c>
      <c r="H194" s="10" t="s">
        <v>12</v>
      </c>
      <c r="I194" s="10" t="s">
        <v>1747</v>
      </c>
      <c r="J194" s="10" t="s">
        <v>121</v>
      </c>
    </row>
    <row r="195" ht="22.5" customHeight="1">
      <c r="A195" s="9">
        <v>46223.61872871528</v>
      </c>
      <c r="B195" s="10" t="s">
        <v>1748</v>
      </c>
      <c r="C195" s="10" t="s">
        <v>640</v>
      </c>
      <c r="D195" s="10" t="s">
        <v>1749</v>
      </c>
      <c r="E195" s="10" t="s">
        <v>1750</v>
      </c>
      <c r="F195" s="10" t="s">
        <v>641</v>
      </c>
      <c r="G195" s="11" t="s">
        <v>642</v>
      </c>
      <c r="H195" s="10" t="s">
        <v>12</v>
      </c>
      <c r="I195" s="10" t="s">
        <v>1751</v>
      </c>
      <c r="J195" s="10" t="s">
        <v>121</v>
      </c>
    </row>
    <row r="196" ht="22.5" customHeight="1">
      <c r="A196" s="9">
        <v>46223.61983297454</v>
      </c>
      <c r="B196" s="10" t="s">
        <v>1752</v>
      </c>
      <c r="C196" s="10" t="s">
        <v>643</v>
      </c>
      <c r="D196" s="10" t="s">
        <v>1753</v>
      </c>
      <c r="E196" s="10" t="s">
        <v>1418</v>
      </c>
      <c r="F196" s="10" t="s">
        <v>644</v>
      </c>
      <c r="G196" s="11" t="s">
        <v>645</v>
      </c>
      <c r="H196" s="10" t="s">
        <v>8</v>
      </c>
      <c r="I196" s="10" t="s">
        <v>1754</v>
      </c>
      <c r="J196" s="10" t="s">
        <v>121</v>
      </c>
    </row>
    <row r="197" ht="22.5" customHeight="1">
      <c r="A197" s="9">
        <v>46223.632159699075</v>
      </c>
      <c r="B197" s="10" t="s">
        <v>1755</v>
      </c>
      <c r="C197" s="10" t="s">
        <v>646</v>
      </c>
      <c r="D197" s="10" t="s">
        <v>1756</v>
      </c>
      <c r="E197" s="10" t="s">
        <v>1757</v>
      </c>
      <c r="F197" s="10" t="s">
        <v>647</v>
      </c>
      <c r="G197" s="11" t="s">
        <v>648</v>
      </c>
      <c r="H197" s="10" t="s">
        <v>12</v>
      </c>
      <c r="I197" s="10" t="s">
        <v>1758</v>
      </c>
      <c r="J197" s="10" t="s">
        <v>121</v>
      </c>
    </row>
    <row r="198" ht="22.5" customHeight="1">
      <c r="A198" s="9">
        <v>46223.65271334491</v>
      </c>
      <c r="B198" s="10" t="s">
        <v>1759</v>
      </c>
      <c r="C198" s="10" t="s">
        <v>649</v>
      </c>
      <c r="D198" s="10" t="s">
        <v>1344</v>
      </c>
      <c r="E198" s="10" t="s">
        <v>610</v>
      </c>
      <c r="F198" s="10" t="s">
        <v>650</v>
      </c>
      <c r="G198" s="11" t="s">
        <v>651</v>
      </c>
      <c r="H198" s="10" t="s">
        <v>23</v>
      </c>
      <c r="I198" s="10" t="s">
        <v>1760</v>
      </c>
      <c r="J198" s="10" t="s">
        <v>121</v>
      </c>
    </row>
    <row r="199" ht="22.5" customHeight="1">
      <c r="A199" s="9">
        <v>46223.736193819444</v>
      </c>
      <c r="B199" s="10" t="s">
        <v>1761</v>
      </c>
      <c r="C199" s="10" t="s">
        <v>653</v>
      </c>
      <c r="D199" s="10" t="s">
        <v>1762</v>
      </c>
      <c r="E199" s="10" t="s">
        <v>1763</v>
      </c>
      <c r="F199" s="10" t="s">
        <v>654</v>
      </c>
      <c r="G199" s="11" t="s">
        <v>655</v>
      </c>
      <c r="H199" s="10" t="s">
        <v>8</v>
      </c>
      <c r="I199" s="10" t="s">
        <v>1764</v>
      </c>
      <c r="J199" s="10" t="s">
        <v>121</v>
      </c>
    </row>
    <row r="200" ht="22.5" customHeight="1">
      <c r="A200" s="9">
        <v>46223.74411042824</v>
      </c>
      <c r="B200" s="10" t="s">
        <v>1765</v>
      </c>
      <c r="C200" s="10" t="s">
        <v>657</v>
      </c>
      <c r="D200" s="10" t="s">
        <v>1766</v>
      </c>
      <c r="E200" s="10" t="s">
        <v>1122</v>
      </c>
      <c r="F200" s="10" t="s">
        <v>658</v>
      </c>
      <c r="G200" s="11" t="s">
        <v>659</v>
      </c>
      <c r="H200" s="10" t="s">
        <v>23</v>
      </c>
      <c r="I200" s="10" t="s">
        <v>1767</v>
      </c>
      <c r="J200" s="10" t="s">
        <v>121</v>
      </c>
    </row>
    <row r="201" ht="22.5" customHeight="1">
      <c r="A201" s="9">
        <v>46223.83791209491</v>
      </c>
      <c r="B201" s="10" t="s">
        <v>1768</v>
      </c>
      <c r="C201" s="10" t="s">
        <v>660</v>
      </c>
      <c r="D201" s="10">
        <v>50.0</v>
      </c>
      <c r="E201" s="10" t="s">
        <v>1769</v>
      </c>
      <c r="F201" s="10" t="s">
        <v>661</v>
      </c>
      <c r="G201" s="11" t="s">
        <v>662</v>
      </c>
      <c r="H201" s="10" t="s">
        <v>63</v>
      </c>
      <c r="I201" s="10" t="s">
        <v>1311</v>
      </c>
      <c r="J201" s="10" t="s">
        <v>121</v>
      </c>
    </row>
    <row r="202" ht="22.5" customHeight="1">
      <c r="A202" s="9">
        <v>46223.839995208335</v>
      </c>
      <c r="B202" s="10" t="s">
        <v>1770</v>
      </c>
      <c r="C202" s="10" t="s">
        <v>664</v>
      </c>
      <c r="D202" s="10" t="s">
        <v>1771</v>
      </c>
      <c r="E202" s="10" t="s">
        <v>1772</v>
      </c>
      <c r="F202" s="10" t="s">
        <v>665</v>
      </c>
      <c r="G202" s="11" t="s">
        <v>666</v>
      </c>
      <c r="H202" s="10" t="s">
        <v>667</v>
      </c>
      <c r="I202" s="10" t="s">
        <v>1773</v>
      </c>
      <c r="J202" s="10" t="s">
        <v>121</v>
      </c>
    </row>
    <row r="203" ht="22.5" customHeight="1">
      <c r="A203" s="9">
        <v>46223.84887199074</v>
      </c>
      <c r="B203" s="10" t="s">
        <v>1774</v>
      </c>
      <c r="C203" s="10" t="s">
        <v>668</v>
      </c>
      <c r="D203" s="10" t="s">
        <v>1775</v>
      </c>
      <c r="E203" s="10" t="s">
        <v>1525</v>
      </c>
      <c r="F203" s="10" t="s">
        <v>669</v>
      </c>
      <c r="G203" s="11" t="s">
        <v>671</v>
      </c>
      <c r="H203" s="10" t="s">
        <v>12</v>
      </c>
      <c r="I203" s="10" t="s">
        <v>358</v>
      </c>
      <c r="J203" s="10" t="s">
        <v>121</v>
      </c>
    </row>
    <row r="204" ht="22.5" customHeight="1">
      <c r="A204" s="9">
        <v>46223.85304616898</v>
      </c>
      <c r="B204" s="10" t="s">
        <v>1776</v>
      </c>
      <c r="C204" s="10" t="s">
        <v>672</v>
      </c>
      <c r="D204" s="10" t="s">
        <v>1777</v>
      </c>
      <c r="E204" s="10" t="s">
        <v>1778</v>
      </c>
      <c r="F204" s="10" t="s">
        <v>673</v>
      </c>
      <c r="G204" s="11" t="s">
        <v>674</v>
      </c>
      <c r="H204" s="10" t="s">
        <v>23</v>
      </c>
      <c r="I204" s="10" t="s">
        <v>330</v>
      </c>
      <c r="J204" s="10" t="s">
        <v>121</v>
      </c>
    </row>
    <row r="205" ht="22.5" customHeight="1">
      <c r="A205" s="9">
        <v>46223.899180243054</v>
      </c>
      <c r="B205" s="10" t="s">
        <v>1779</v>
      </c>
      <c r="C205" s="10" t="s">
        <v>675</v>
      </c>
      <c r="D205" s="10">
        <v>51.0</v>
      </c>
      <c r="E205" s="10" t="s">
        <v>1780</v>
      </c>
      <c r="F205" s="10" t="s">
        <v>676</v>
      </c>
      <c r="G205" s="11" t="s">
        <v>677</v>
      </c>
      <c r="H205" s="10" t="s">
        <v>12</v>
      </c>
      <c r="I205" s="10" t="s">
        <v>330</v>
      </c>
      <c r="J205" s="10" t="s">
        <v>121</v>
      </c>
    </row>
    <row r="206" ht="22.5" customHeight="1">
      <c r="A206" s="9">
        <v>46223.906172118055</v>
      </c>
      <c r="B206" s="10" t="s">
        <v>1781</v>
      </c>
      <c r="C206" s="10" t="s">
        <v>679</v>
      </c>
      <c r="D206" s="10" t="s">
        <v>1782</v>
      </c>
      <c r="E206" s="10" t="s">
        <v>1769</v>
      </c>
      <c r="F206" s="10" t="s">
        <v>680</v>
      </c>
      <c r="G206" s="11" t="s">
        <v>681</v>
      </c>
      <c r="H206" s="10" t="s">
        <v>12</v>
      </c>
      <c r="I206" s="10" t="s">
        <v>1783</v>
      </c>
      <c r="J206" s="10" t="s">
        <v>121</v>
      </c>
    </row>
    <row r="207" ht="22.5" customHeight="1">
      <c r="A207" s="9">
        <v>46223.90922267361</v>
      </c>
      <c r="B207" s="10" t="s">
        <v>1784</v>
      </c>
      <c r="C207" s="10" t="s">
        <v>682</v>
      </c>
      <c r="D207" s="10" t="s">
        <v>1597</v>
      </c>
      <c r="E207" s="10" t="s">
        <v>136</v>
      </c>
      <c r="F207" s="10" t="s">
        <v>683</v>
      </c>
      <c r="G207" s="11" t="s">
        <v>684</v>
      </c>
      <c r="H207" s="10" t="s">
        <v>23</v>
      </c>
      <c r="I207" s="10" t="s">
        <v>1785</v>
      </c>
      <c r="J207" s="10" t="s">
        <v>121</v>
      </c>
    </row>
    <row r="208" ht="22.5" customHeight="1">
      <c r="A208" s="9">
        <v>46223.92212274305</v>
      </c>
      <c r="B208" s="10" t="s">
        <v>1786</v>
      </c>
      <c r="C208" s="10" t="s">
        <v>685</v>
      </c>
      <c r="D208" s="10" t="s">
        <v>1787</v>
      </c>
      <c r="E208" s="10" t="s">
        <v>1385</v>
      </c>
      <c r="F208" s="10" t="s">
        <v>686</v>
      </c>
      <c r="G208" s="11" t="s">
        <v>687</v>
      </c>
      <c r="H208" s="10" t="s">
        <v>12</v>
      </c>
      <c r="I208" s="10" t="s">
        <v>1534</v>
      </c>
      <c r="J208" s="10" t="s">
        <v>121</v>
      </c>
    </row>
    <row r="209" ht="22.5" customHeight="1">
      <c r="A209" s="9">
        <v>46223.92429459491</v>
      </c>
      <c r="B209" s="10" t="s">
        <v>1788</v>
      </c>
      <c r="C209" s="10" t="s">
        <v>688</v>
      </c>
      <c r="D209" s="10" t="s">
        <v>1789</v>
      </c>
      <c r="E209" s="10" t="s">
        <v>1391</v>
      </c>
      <c r="F209" s="10" t="s">
        <v>689</v>
      </c>
      <c r="G209" s="11" t="s">
        <v>690</v>
      </c>
      <c r="H209" s="10" t="s">
        <v>23</v>
      </c>
      <c r="I209" s="10" t="s">
        <v>1790</v>
      </c>
      <c r="J209" s="10" t="s">
        <v>121</v>
      </c>
    </row>
    <row r="210" ht="22.5" customHeight="1">
      <c r="A210" s="9">
        <v>46223.93924503472</v>
      </c>
      <c r="B210" s="10" t="s">
        <v>1791</v>
      </c>
      <c r="C210" s="10" t="s">
        <v>692</v>
      </c>
      <c r="D210" s="10" t="s">
        <v>1792</v>
      </c>
      <c r="E210" s="10" t="s">
        <v>1793</v>
      </c>
      <c r="F210" s="10" t="s">
        <v>693</v>
      </c>
      <c r="G210" s="11" t="s">
        <v>694</v>
      </c>
      <c r="H210" s="10" t="s">
        <v>12</v>
      </c>
      <c r="I210" s="10" t="s">
        <v>358</v>
      </c>
      <c r="J210" s="10" t="s">
        <v>121</v>
      </c>
    </row>
    <row r="211" ht="22.5" customHeight="1">
      <c r="A211" s="9">
        <v>46224.00580157407</v>
      </c>
      <c r="B211" s="10" t="s">
        <v>1794</v>
      </c>
      <c r="C211" s="10" t="s">
        <v>695</v>
      </c>
      <c r="D211" s="10" t="s">
        <v>1437</v>
      </c>
      <c r="E211" s="10" t="s">
        <v>1795</v>
      </c>
      <c r="F211" s="10" t="s">
        <v>696</v>
      </c>
      <c r="G211" s="11" t="s">
        <v>697</v>
      </c>
      <c r="H211" s="10" t="s">
        <v>98</v>
      </c>
      <c r="I211" s="10" t="s">
        <v>1796</v>
      </c>
      <c r="J211" s="10" t="s">
        <v>121</v>
      </c>
    </row>
    <row r="212" ht="22.5" customHeight="1">
      <c r="A212" s="9">
        <v>46224.02026135416</v>
      </c>
      <c r="B212" s="10" t="s">
        <v>1361</v>
      </c>
      <c r="C212" s="10" t="s">
        <v>1797</v>
      </c>
      <c r="D212" s="10" t="s">
        <v>1437</v>
      </c>
      <c r="E212" s="10" t="s">
        <v>1798</v>
      </c>
      <c r="F212" s="10" t="s">
        <v>1799</v>
      </c>
      <c r="G212" s="11" t="s">
        <v>1800</v>
      </c>
      <c r="H212" s="10" t="s">
        <v>12</v>
      </c>
      <c r="I212" s="10" t="s">
        <v>358</v>
      </c>
      <c r="J212" s="10" t="s">
        <v>95</v>
      </c>
    </row>
    <row r="213" ht="22.5" customHeight="1">
      <c r="A213" s="9">
        <v>46224.0523921412</v>
      </c>
      <c r="B213" s="10" t="s">
        <v>1801</v>
      </c>
      <c r="C213" s="10" t="s">
        <v>698</v>
      </c>
      <c r="D213" s="10" t="s">
        <v>1802</v>
      </c>
      <c r="E213" s="10" t="s">
        <v>1803</v>
      </c>
      <c r="F213" s="10" t="s">
        <v>700</v>
      </c>
      <c r="G213" s="11" t="s">
        <v>701</v>
      </c>
      <c r="H213" s="10" t="s">
        <v>8</v>
      </c>
      <c r="I213" s="10" t="s">
        <v>1760</v>
      </c>
      <c r="J213" s="10" t="s">
        <v>121</v>
      </c>
    </row>
    <row r="214" ht="22.5" customHeight="1">
      <c r="A214" s="9">
        <v>46224.07406402778</v>
      </c>
      <c r="B214" s="10" t="s">
        <v>1804</v>
      </c>
      <c r="C214" s="10" t="s">
        <v>702</v>
      </c>
      <c r="D214" s="10" t="s">
        <v>1805</v>
      </c>
      <c r="E214" s="10" t="s">
        <v>1806</v>
      </c>
      <c r="F214" s="10" t="s">
        <v>703</v>
      </c>
      <c r="G214" s="11" t="s">
        <v>705</v>
      </c>
      <c r="H214" s="10" t="s">
        <v>98</v>
      </c>
      <c r="I214" s="10" t="s">
        <v>1807</v>
      </c>
      <c r="J214" s="10" t="s">
        <v>121</v>
      </c>
    </row>
    <row r="215" ht="22.5" customHeight="1">
      <c r="A215" s="9">
        <v>46224.09125011574</v>
      </c>
      <c r="B215" s="10" t="s">
        <v>1808</v>
      </c>
      <c r="C215" s="10" t="s">
        <v>706</v>
      </c>
      <c r="D215" s="10" t="s">
        <v>1809</v>
      </c>
      <c r="E215" s="10" t="s">
        <v>656</v>
      </c>
      <c r="F215" s="10" t="s">
        <v>707</v>
      </c>
      <c r="G215" s="11" t="s">
        <v>708</v>
      </c>
      <c r="H215" s="10" t="s">
        <v>12</v>
      </c>
      <c r="I215" s="10" t="s">
        <v>1810</v>
      </c>
      <c r="J215" s="10" t="s">
        <v>121</v>
      </c>
    </row>
    <row r="216" ht="22.5" customHeight="1">
      <c r="A216" s="9">
        <v>46224.10116327547</v>
      </c>
      <c r="B216" s="10" t="s">
        <v>1811</v>
      </c>
      <c r="C216" s="10" t="s">
        <v>709</v>
      </c>
      <c r="D216" s="10" t="s">
        <v>1384</v>
      </c>
      <c r="E216" s="10" t="s">
        <v>1812</v>
      </c>
      <c r="F216" s="10" t="s">
        <v>710</v>
      </c>
      <c r="G216" s="11" t="s">
        <v>711</v>
      </c>
      <c r="H216" s="10" t="s">
        <v>242</v>
      </c>
      <c r="I216" s="10" t="s">
        <v>1813</v>
      </c>
      <c r="J216" s="10" t="s">
        <v>121</v>
      </c>
    </row>
    <row r="217" ht="22.5" customHeight="1">
      <c r="A217" s="9">
        <v>46224.16149892361</v>
      </c>
      <c r="B217" s="10" t="s">
        <v>1814</v>
      </c>
      <c r="C217" s="10" t="s">
        <v>712</v>
      </c>
      <c r="D217" s="10" t="s">
        <v>1815</v>
      </c>
      <c r="E217" s="10" t="s">
        <v>1355</v>
      </c>
      <c r="F217" s="10" t="s">
        <v>713</v>
      </c>
      <c r="G217" s="11" t="s">
        <v>714</v>
      </c>
      <c r="H217" s="10" t="s">
        <v>12</v>
      </c>
      <c r="I217" s="10" t="s">
        <v>1360</v>
      </c>
      <c r="J217" s="10" t="s">
        <v>121</v>
      </c>
    </row>
    <row r="218" ht="22.5" customHeight="1">
      <c r="A218" s="9">
        <v>46224.343974097224</v>
      </c>
      <c r="B218" s="10" t="s">
        <v>1816</v>
      </c>
      <c r="C218" s="10" t="s">
        <v>715</v>
      </c>
      <c r="D218" s="10" t="s">
        <v>1817</v>
      </c>
      <c r="E218" s="10" t="s">
        <v>1818</v>
      </c>
      <c r="F218" s="10" t="s">
        <v>716</v>
      </c>
      <c r="G218" s="11" t="s">
        <v>717</v>
      </c>
      <c r="H218" s="10" t="s">
        <v>8</v>
      </c>
      <c r="I218" s="10" t="s">
        <v>1819</v>
      </c>
      <c r="J218" s="10" t="s">
        <v>121</v>
      </c>
    </row>
    <row r="219" ht="22.5" customHeight="1">
      <c r="A219" s="9">
        <v>46224.424711898144</v>
      </c>
      <c r="B219" s="10" t="s">
        <v>1820</v>
      </c>
      <c r="C219" s="10" t="s">
        <v>718</v>
      </c>
      <c r="D219" s="10" t="s">
        <v>1821</v>
      </c>
      <c r="E219" s="10" t="s">
        <v>1822</v>
      </c>
      <c r="F219" s="10" t="s">
        <v>719</v>
      </c>
      <c r="G219" s="11" t="s">
        <v>721</v>
      </c>
      <c r="H219" s="10" t="s">
        <v>8</v>
      </c>
      <c r="I219" s="10" t="s">
        <v>1823</v>
      </c>
      <c r="J219" s="10" t="s">
        <v>121</v>
      </c>
    </row>
    <row r="220" ht="22.5" customHeight="1">
      <c r="A220" s="9">
        <v>46224.43200189815</v>
      </c>
      <c r="B220" s="10" t="s">
        <v>1824</v>
      </c>
      <c r="C220" s="10" t="s">
        <v>722</v>
      </c>
      <c r="D220" s="10" t="s">
        <v>1825</v>
      </c>
      <c r="E220" s="10" t="s">
        <v>1746</v>
      </c>
      <c r="F220" s="10" t="s">
        <v>723</v>
      </c>
      <c r="G220" s="11" t="s">
        <v>724</v>
      </c>
      <c r="H220" s="10" t="s">
        <v>12</v>
      </c>
      <c r="I220" s="10" t="s">
        <v>1826</v>
      </c>
      <c r="J220" s="10" t="s">
        <v>121</v>
      </c>
    </row>
    <row r="221" ht="22.5" customHeight="1">
      <c r="A221" s="9">
        <v>46224.508793483794</v>
      </c>
      <c r="B221" s="10" t="s">
        <v>1827</v>
      </c>
      <c r="C221" s="10" t="s">
        <v>725</v>
      </c>
      <c r="D221" s="10" t="s">
        <v>1828</v>
      </c>
      <c r="E221" s="10" t="s">
        <v>1829</v>
      </c>
      <c r="F221" s="10" t="s">
        <v>726</v>
      </c>
      <c r="G221" s="11" t="s">
        <v>727</v>
      </c>
      <c r="H221" s="10" t="s">
        <v>23</v>
      </c>
      <c r="I221" s="10" t="s">
        <v>1830</v>
      </c>
      <c r="J221" s="10" t="s">
        <v>121</v>
      </c>
    </row>
    <row r="222" ht="22.5" customHeight="1">
      <c r="A222" s="9">
        <v>46224.509141574075</v>
      </c>
      <c r="B222" s="10" t="s">
        <v>1831</v>
      </c>
      <c r="C222" s="10" t="s">
        <v>728</v>
      </c>
      <c r="D222" s="10" t="s">
        <v>1832</v>
      </c>
      <c r="E222" s="10" t="s">
        <v>1327</v>
      </c>
      <c r="F222" s="10" t="s">
        <v>729</v>
      </c>
      <c r="G222" s="11" t="s">
        <v>731</v>
      </c>
      <c r="H222" s="10" t="s">
        <v>732</v>
      </c>
      <c r="I222" s="10" t="s">
        <v>1833</v>
      </c>
      <c r="J222" s="10" t="s">
        <v>121</v>
      </c>
    </row>
    <row r="223" ht="22.5" customHeight="1">
      <c r="A223" s="9">
        <v>46224.521195520836</v>
      </c>
      <c r="B223" s="10" t="s">
        <v>1834</v>
      </c>
      <c r="C223" s="10" t="s">
        <v>733</v>
      </c>
      <c r="D223" s="10" t="s">
        <v>1835</v>
      </c>
      <c r="E223" s="10" t="s">
        <v>1122</v>
      </c>
      <c r="F223" s="10" t="s">
        <v>734</v>
      </c>
      <c r="G223" s="11" t="s">
        <v>735</v>
      </c>
      <c r="H223" s="10" t="s">
        <v>12</v>
      </c>
      <c r="I223" s="10" t="s">
        <v>1836</v>
      </c>
      <c r="J223" s="10" t="s">
        <v>121</v>
      </c>
    </row>
    <row r="224" ht="22.5" customHeight="1">
      <c r="A224" s="9">
        <v>46224.54699966435</v>
      </c>
      <c r="B224" s="10" t="s">
        <v>1837</v>
      </c>
      <c r="C224" s="10" t="s">
        <v>737</v>
      </c>
      <c r="D224" s="10" t="s">
        <v>1838</v>
      </c>
      <c r="E224" s="10" t="s">
        <v>1839</v>
      </c>
      <c r="F224" s="10" t="s">
        <v>738</v>
      </c>
      <c r="G224" s="11" t="s">
        <v>739</v>
      </c>
      <c r="H224" s="10" t="s">
        <v>741</v>
      </c>
      <c r="I224" s="10" t="s">
        <v>1840</v>
      </c>
      <c r="J224" s="10" t="s">
        <v>121</v>
      </c>
    </row>
    <row r="225" ht="22.5" customHeight="1">
      <c r="A225" s="9">
        <v>46224.5508347338</v>
      </c>
      <c r="B225" s="10" t="s">
        <v>1841</v>
      </c>
      <c r="C225" s="10" t="s">
        <v>742</v>
      </c>
      <c r="D225" s="10" t="s">
        <v>1706</v>
      </c>
      <c r="E225" s="10" t="s">
        <v>1842</v>
      </c>
      <c r="F225" s="10" t="s">
        <v>743</v>
      </c>
      <c r="G225" s="11" t="s">
        <v>744</v>
      </c>
      <c r="H225" s="10" t="s">
        <v>12</v>
      </c>
      <c r="I225" s="10" t="s">
        <v>1843</v>
      </c>
      <c r="J225" s="10" t="s">
        <v>121</v>
      </c>
    </row>
    <row r="226" ht="22.5" customHeight="1">
      <c r="A226" s="9">
        <v>46224.60560792824</v>
      </c>
      <c r="B226" s="10" t="s">
        <v>1844</v>
      </c>
      <c r="C226" s="10" t="s">
        <v>745</v>
      </c>
      <c r="D226" s="10" t="s">
        <v>1845</v>
      </c>
      <c r="E226" s="10" t="s">
        <v>1533</v>
      </c>
      <c r="F226" s="10" t="s">
        <v>746</v>
      </c>
      <c r="G226" s="11" t="s">
        <v>747</v>
      </c>
      <c r="H226" s="10" t="s">
        <v>8</v>
      </c>
      <c r="I226" s="10" t="s">
        <v>1439</v>
      </c>
      <c r="J226" s="10" t="s">
        <v>121</v>
      </c>
    </row>
    <row r="227" ht="22.5" customHeight="1">
      <c r="A227" s="9">
        <v>46224.61239530092</v>
      </c>
      <c r="B227" s="10" t="s">
        <v>1846</v>
      </c>
      <c r="C227" s="10" t="s">
        <v>748</v>
      </c>
      <c r="D227" s="10" t="s">
        <v>1847</v>
      </c>
      <c r="E227" s="10" t="s">
        <v>1292</v>
      </c>
      <c r="F227" s="10" t="s">
        <v>749</v>
      </c>
      <c r="G227" s="11" t="s">
        <v>751</v>
      </c>
      <c r="H227" s="10" t="s">
        <v>12</v>
      </c>
      <c r="I227" s="10" t="s">
        <v>1848</v>
      </c>
      <c r="J227" s="10" t="s">
        <v>121</v>
      </c>
    </row>
    <row r="228" ht="22.5" customHeight="1">
      <c r="A228" s="9">
        <v>46224.62646112268</v>
      </c>
      <c r="B228" s="10" t="s">
        <v>1849</v>
      </c>
      <c r="C228" s="10" t="s">
        <v>752</v>
      </c>
      <c r="D228" s="10" t="s">
        <v>1847</v>
      </c>
      <c r="E228" s="10" t="s">
        <v>1292</v>
      </c>
      <c r="F228" s="10" t="s">
        <v>753</v>
      </c>
      <c r="G228" s="11" t="s">
        <v>754</v>
      </c>
      <c r="H228" s="10" t="s">
        <v>8</v>
      </c>
      <c r="I228" s="10" t="s">
        <v>1850</v>
      </c>
      <c r="J228" s="10" t="s">
        <v>121</v>
      </c>
    </row>
    <row r="229" ht="22.5" customHeight="1">
      <c r="A229" s="9">
        <v>46224.69956432871</v>
      </c>
      <c r="B229" s="10" t="s">
        <v>1851</v>
      </c>
      <c r="C229" s="10" t="s">
        <v>755</v>
      </c>
      <c r="D229" s="10" t="s">
        <v>1852</v>
      </c>
      <c r="E229" s="10" t="s">
        <v>500</v>
      </c>
      <c r="F229" s="10" t="s">
        <v>756</v>
      </c>
      <c r="G229" s="11" t="s">
        <v>757</v>
      </c>
      <c r="H229" s="10" t="s">
        <v>80</v>
      </c>
      <c r="I229" s="10" t="s">
        <v>1848</v>
      </c>
      <c r="J229" s="10" t="s">
        <v>121</v>
      </c>
    </row>
    <row r="230" ht="22.5" customHeight="1">
      <c r="A230" s="9">
        <v>46224.78526107639</v>
      </c>
      <c r="B230" s="10" t="s">
        <v>1853</v>
      </c>
      <c r="C230" s="10" t="s">
        <v>759</v>
      </c>
      <c r="D230" s="10" t="s">
        <v>1854</v>
      </c>
      <c r="E230" s="10" t="s">
        <v>1855</v>
      </c>
      <c r="F230" s="10" t="s">
        <v>760</v>
      </c>
      <c r="G230" s="11" t="s">
        <v>761</v>
      </c>
      <c r="H230" s="10" t="s">
        <v>12</v>
      </c>
      <c r="I230" s="10" t="s">
        <v>1856</v>
      </c>
      <c r="J230" s="10" t="s">
        <v>121</v>
      </c>
    </row>
    <row r="231" ht="22.5" customHeight="1">
      <c r="A231" s="9">
        <v>46224.81929269676</v>
      </c>
      <c r="B231" s="10" t="s">
        <v>1857</v>
      </c>
      <c r="C231" s="10" t="s">
        <v>762</v>
      </c>
      <c r="D231" s="10" t="s">
        <v>1858</v>
      </c>
      <c r="E231" s="10" t="s">
        <v>1318</v>
      </c>
      <c r="F231" s="10" t="s">
        <v>763</v>
      </c>
      <c r="G231" s="11" t="s">
        <v>764</v>
      </c>
      <c r="H231" s="10" t="s">
        <v>12</v>
      </c>
      <c r="I231" s="10" t="s">
        <v>12</v>
      </c>
      <c r="J231" s="10" t="s">
        <v>121</v>
      </c>
    </row>
    <row r="232" ht="22.5" customHeight="1">
      <c r="A232" s="9">
        <v>46224.84000225694</v>
      </c>
      <c r="B232" s="10" t="s">
        <v>1859</v>
      </c>
      <c r="C232" s="10" t="s">
        <v>765</v>
      </c>
      <c r="D232" s="10" t="s">
        <v>1860</v>
      </c>
      <c r="E232" s="10" t="s">
        <v>1681</v>
      </c>
      <c r="F232" s="10" t="s">
        <v>767</v>
      </c>
      <c r="G232" s="11" t="s">
        <v>768</v>
      </c>
      <c r="H232" s="10" t="s">
        <v>12</v>
      </c>
      <c r="I232" s="10" t="s">
        <v>1360</v>
      </c>
      <c r="J232" s="10" t="s">
        <v>121</v>
      </c>
    </row>
    <row r="233" ht="22.5" customHeight="1">
      <c r="A233" s="9">
        <v>46224.84868726852</v>
      </c>
      <c r="B233" s="10" t="s">
        <v>1861</v>
      </c>
      <c r="C233" s="10" t="s">
        <v>770</v>
      </c>
      <c r="D233" s="10" t="s">
        <v>1862</v>
      </c>
      <c r="E233" s="10" t="s">
        <v>1863</v>
      </c>
      <c r="F233" s="10" t="s">
        <v>771</v>
      </c>
      <c r="G233" s="11" t="s">
        <v>772</v>
      </c>
      <c r="H233" s="10" t="s">
        <v>539</v>
      </c>
      <c r="I233" s="10" t="s">
        <v>1360</v>
      </c>
      <c r="J233" s="10" t="s">
        <v>121</v>
      </c>
    </row>
    <row r="234" ht="22.5" customHeight="1">
      <c r="A234" s="9">
        <v>46224.91488819444</v>
      </c>
      <c r="B234" s="10" t="s">
        <v>1864</v>
      </c>
      <c r="C234" s="10" t="s">
        <v>773</v>
      </c>
      <c r="D234" s="10" t="s">
        <v>945</v>
      </c>
      <c r="E234" s="10" t="s">
        <v>1865</v>
      </c>
      <c r="F234" s="10" t="s">
        <v>774</v>
      </c>
      <c r="G234" s="11" t="s">
        <v>775</v>
      </c>
      <c r="H234" s="10" t="s">
        <v>23</v>
      </c>
      <c r="I234" s="10" t="s">
        <v>1866</v>
      </c>
      <c r="J234" s="10" t="s">
        <v>121</v>
      </c>
    </row>
    <row r="235" ht="22.5" customHeight="1">
      <c r="A235" s="9">
        <v>46224.92372824074</v>
      </c>
      <c r="B235" s="10" t="s">
        <v>1867</v>
      </c>
      <c r="C235" s="10" t="s">
        <v>776</v>
      </c>
      <c r="D235" s="10" t="s">
        <v>1868</v>
      </c>
      <c r="E235" s="10" t="s">
        <v>1869</v>
      </c>
      <c r="F235" s="10" t="s">
        <v>777</v>
      </c>
      <c r="G235" s="11" t="s">
        <v>778</v>
      </c>
      <c r="H235" s="10" t="s">
        <v>23</v>
      </c>
      <c r="I235" s="10" t="s">
        <v>1870</v>
      </c>
      <c r="J235" s="10" t="s">
        <v>121</v>
      </c>
    </row>
    <row r="236" ht="22.5" customHeight="1">
      <c r="A236" s="9">
        <v>46225.0223754051</v>
      </c>
      <c r="B236" s="10" t="s">
        <v>1851</v>
      </c>
      <c r="C236" s="10" t="s">
        <v>779</v>
      </c>
      <c r="D236" s="10" t="s">
        <v>1871</v>
      </c>
      <c r="E236" s="10" t="s">
        <v>1872</v>
      </c>
      <c r="F236" s="10" t="s">
        <v>780</v>
      </c>
      <c r="G236" s="11" t="s">
        <v>781</v>
      </c>
      <c r="H236" s="10" t="s">
        <v>80</v>
      </c>
      <c r="I236" s="10" t="s">
        <v>1622</v>
      </c>
      <c r="J236" s="10" t="s">
        <v>121</v>
      </c>
    </row>
    <row r="237" ht="22.5" customHeight="1">
      <c r="A237" s="9">
        <v>46225.02995885417</v>
      </c>
      <c r="B237" s="10" t="s">
        <v>1873</v>
      </c>
      <c r="C237" s="10" t="s">
        <v>782</v>
      </c>
      <c r="D237" s="10" t="s">
        <v>1874</v>
      </c>
      <c r="E237" s="10" t="s">
        <v>1875</v>
      </c>
      <c r="F237" s="10" t="s">
        <v>783</v>
      </c>
      <c r="G237" s="11" t="s">
        <v>784</v>
      </c>
      <c r="H237" s="10" t="s">
        <v>12</v>
      </c>
      <c r="I237" s="10" t="s">
        <v>1876</v>
      </c>
      <c r="J237" s="10" t="s">
        <v>121</v>
      </c>
    </row>
    <row r="238" ht="22.5" customHeight="1">
      <c r="A238" s="9">
        <v>46225.03425939815</v>
      </c>
      <c r="B238" s="10" t="s">
        <v>1877</v>
      </c>
      <c r="C238" s="10" t="s">
        <v>786</v>
      </c>
      <c r="D238" s="10" t="s">
        <v>296</v>
      </c>
      <c r="E238" s="10" t="s">
        <v>1878</v>
      </c>
      <c r="F238" s="10" t="s">
        <v>787</v>
      </c>
      <c r="G238" s="11" t="s">
        <v>788</v>
      </c>
      <c r="H238" s="10" t="s">
        <v>12</v>
      </c>
      <c r="I238" s="10" t="s">
        <v>1879</v>
      </c>
      <c r="J238" s="10" t="s">
        <v>121</v>
      </c>
    </row>
    <row r="239" ht="22.5" customHeight="1">
      <c r="A239" s="9">
        <v>46225.04814947917</v>
      </c>
      <c r="B239" s="10" t="s">
        <v>1880</v>
      </c>
      <c r="C239" s="10" t="s">
        <v>789</v>
      </c>
      <c r="D239" s="10">
        <v>51.0</v>
      </c>
      <c r="E239" s="10" t="s">
        <v>1285</v>
      </c>
      <c r="F239" s="10" t="s">
        <v>790</v>
      </c>
      <c r="G239" s="11" t="s">
        <v>791</v>
      </c>
      <c r="H239" s="10" t="s">
        <v>23</v>
      </c>
      <c r="I239" s="10" t="s">
        <v>1881</v>
      </c>
      <c r="J239" s="10" t="s">
        <v>121</v>
      </c>
    </row>
    <row r="240" ht="22.5" customHeight="1">
      <c r="A240" s="9">
        <v>46225.04971503472</v>
      </c>
      <c r="B240" s="10" t="s">
        <v>1882</v>
      </c>
      <c r="C240" s="10" t="s">
        <v>792</v>
      </c>
      <c r="D240" s="10" t="s">
        <v>1883</v>
      </c>
      <c r="E240" s="10" t="s">
        <v>1500</v>
      </c>
      <c r="F240" s="10" t="s">
        <v>793</v>
      </c>
      <c r="G240" s="11" t="s">
        <v>794</v>
      </c>
      <c r="H240" s="10" t="s">
        <v>23</v>
      </c>
      <c r="I240" s="10" t="s">
        <v>1884</v>
      </c>
      <c r="J240" s="10" t="s">
        <v>121</v>
      </c>
    </row>
    <row r="241" ht="22.5" customHeight="1">
      <c r="A241" s="9">
        <v>46225.0660500463</v>
      </c>
      <c r="B241" s="10" t="s">
        <v>1885</v>
      </c>
      <c r="C241" s="10" t="s">
        <v>795</v>
      </c>
      <c r="D241" s="10" t="s">
        <v>1886</v>
      </c>
      <c r="E241" s="10" t="s">
        <v>1122</v>
      </c>
      <c r="F241" s="10" t="s">
        <v>796</v>
      </c>
      <c r="G241" s="11" t="s">
        <v>797</v>
      </c>
      <c r="H241" s="10" t="s">
        <v>12</v>
      </c>
      <c r="I241" s="10" t="s">
        <v>1887</v>
      </c>
      <c r="J241" s="10" t="s">
        <v>121</v>
      </c>
    </row>
    <row r="242" ht="22.5" customHeight="1">
      <c r="A242" s="9">
        <v>46225.07900324074</v>
      </c>
      <c r="B242" s="10" t="s">
        <v>1888</v>
      </c>
      <c r="C242" s="10" t="s">
        <v>799</v>
      </c>
      <c r="D242" s="10" t="s">
        <v>1889</v>
      </c>
      <c r="E242" s="10" t="s">
        <v>1890</v>
      </c>
      <c r="F242" s="10" t="s">
        <v>800</v>
      </c>
      <c r="G242" s="11" t="s">
        <v>801</v>
      </c>
      <c r="H242" s="10" t="s">
        <v>23</v>
      </c>
      <c r="I242" s="10" t="s">
        <v>1891</v>
      </c>
      <c r="J242" s="10" t="s">
        <v>121</v>
      </c>
    </row>
    <row r="243" ht="22.5" customHeight="1">
      <c r="A243" s="9">
        <v>46225.09172611111</v>
      </c>
      <c r="B243" s="10" t="s">
        <v>1892</v>
      </c>
      <c r="C243" s="10" t="s">
        <v>802</v>
      </c>
      <c r="D243" s="10" t="s">
        <v>1668</v>
      </c>
      <c r="E243" s="10" t="s">
        <v>1893</v>
      </c>
      <c r="F243" s="10" t="s">
        <v>804</v>
      </c>
      <c r="G243" s="11" t="s">
        <v>805</v>
      </c>
      <c r="H243" s="10" t="s">
        <v>98</v>
      </c>
      <c r="I243" s="10" t="s">
        <v>1654</v>
      </c>
      <c r="J243" s="10" t="s">
        <v>121</v>
      </c>
    </row>
    <row r="244" ht="22.5" customHeight="1">
      <c r="A244" s="9">
        <v>46225.18483673611</v>
      </c>
      <c r="B244" s="10" t="s">
        <v>1894</v>
      </c>
      <c r="C244" s="10" t="s">
        <v>807</v>
      </c>
      <c r="D244" s="10" t="s">
        <v>1895</v>
      </c>
      <c r="E244" s="10" t="s">
        <v>1896</v>
      </c>
      <c r="F244" s="10" t="s">
        <v>808</v>
      </c>
      <c r="G244" s="11" t="s">
        <v>809</v>
      </c>
      <c r="H244" s="10" t="s">
        <v>98</v>
      </c>
      <c r="I244" s="10" t="s">
        <v>1897</v>
      </c>
      <c r="J244" s="10" t="s">
        <v>121</v>
      </c>
    </row>
    <row r="245" ht="22.5" customHeight="1">
      <c r="A245" s="9">
        <v>46225.47126298611</v>
      </c>
      <c r="B245" s="10" t="s">
        <v>1898</v>
      </c>
      <c r="C245" s="10" t="s">
        <v>810</v>
      </c>
      <c r="D245" s="10" t="s">
        <v>1899</v>
      </c>
      <c r="E245" s="10" t="s">
        <v>1900</v>
      </c>
      <c r="F245" s="10" t="s">
        <v>811</v>
      </c>
      <c r="G245" s="11" t="s">
        <v>812</v>
      </c>
      <c r="H245" s="10" t="s">
        <v>98</v>
      </c>
      <c r="I245" s="10" t="s">
        <v>1901</v>
      </c>
      <c r="J245" s="10" t="s">
        <v>121</v>
      </c>
    </row>
    <row r="246" ht="22.5" customHeight="1">
      <c r="A246" s="9">
        <v>46225.49767355324</v>
      </c>
      <c r="B246" s="10" t="s">
        <v>1902</v>
      </c>
      <c r="C246" s="10" t="s">
        <v>813</v>
      </c>
      <c r="D246" s="10" t="s">
        <v>1597</v>
      </c>
      <c r="E246" s="10" t="s">
        <v>1603</v>
      </c>
      <c r="F246" s="10" t="s">
        <v>814</v>
      </c>
      <c r="G246" s="11" t="s">
        <v>816</v>
      </c>
      <c r="H246" s="10" t="s">
        <v>12</v>
      </c>
      <c r="I246" s="10" t="s">
        <v>1903</v>
      </c>
      <c r="J246" s="10" t="s">
        <v>121</v>
      </c>
    </row>
    <row r="247" ht="22.5" customHeight="1">
      <c r="A247" s="9">
        <v>46225.528401655094</v>
      </c>
      <c r="B247" s="10" t="s">
        <v>1904</v>
      </c>
      <c r="C247" s="10" t="s">
        <v>817</v>
      </c>
      <c r="D247" s="10" t="s">
        <v>1905</v>
      </c>
      <c r="E247" s="10" t="s">
        <v>1906</v>
      </c>
      <c r="F247" s="10" t="s">
        <v>818</v>
      </c>
      <c r="G247" s="11" t="s">
        <v>819</v>
      </c>
      <c r="H247" s="10" t="s">
        <v>12</v>
      </c>
      <c r="I247" s="10" t="s">
        <v>1907</v>
      </c>
      <c r="J247" s="10" t="s">
        <v>121</v>
      </c>
    </row>
    <row r="248" ht="22.5" customHeight="1">
      <c r="A248" s="9">
        <v>46225.53350011574</v>
      </c>
      <c r="B248" s="10" t="s">
        <v>1908</v>
      </c>
      <c r="C248" s="10" t="s">
        <v>820</v>
      </c>
      <c r="D248" s="10" t="s">
        <v>1909</v>
      </c>
      <c r="E248" s="10" t="s">
        <v>1778</v>
      </c>
      <c r="F248" s="10" t="s">
        <v>821</v>
      </c>
      <c r="G248" s="11" t="s">
        <v>822</v>
      </c>
      <c r="H248" s="10" t="s">
        <v>8</v>
      </c>
      <c r="I248" s="10" t="s">
        <v>1910</v>
      </c>
      <c r="J248" s="10" t="s">
        <v>121</v>
      </c>
    </row>
    <row r="249" ht="22.5" customHeight="1">
      <c r="A249" s="9">
        <v>46225.54041792824</v>
      </c>
      <c r="B249" s="10" t="s">
        <v>1911</v>
      </c>
      <c r="C249" s="10" t="s">
        <v>823</v>
      </c>
      <c r="D249" s="10" t="s">
        <v>296</v>
      </c>
      <c r="E249" s="10" t="s">
        <v>1605</v>
      </c>
      <c r="F249" s="10" t="s">
        <v>824</v>
      </c>
      <c r="G249" s="11" t="s">
        <v>825</v>
      </c>
      <c r="H249" s="10" t="s">
        <v>12</v>
      </c>
      <c r="I249" s="10" t="s">
        <v>1912</v>
      </c>
      <c r="J249" s="10" t="s">
        <v>121</v>
      </c>
    </row>
    <row r="250" ht="22.5" customHeight="1">
      <c r="A250" s="9">
        <v>46225.58641391204</v>
      </c>
      <c r="B250" s="10" t="s">
        <v>1913</v>
      </c>
      <c r="C250" s="10" t="s">
        <v>827</v>
      </c>
      <c r="D250" s="10" t="s">
        <v>1914</v>
      </c>
      <c r="E250" s="10" t="s">
        <v>1285</v>
      </c>
      <c r="F250" s="10" t="s">
        <v>828</v>
      </c>
      <c r="G250" s="11" t="s">
        <v>829</v>
      </c>
      <c r="H250" s="10" t="s">
        <v>23</v>
      </c>
      <c r="I250" s="10" t="s">
        <v>1512</v>
      </c>
      <c r="J250" s="10" t="s">
        <v>121</v>
      </c>
    </row>
    <row r="251" ht="22.5" customHeight="1">
      <c r="A251" s="9">
        <v>46225.60661199074</v>
      </c>
      <c r="B251" s="10" t="s">
        <v>1915</v>
      </c>
      <c r="C251" s="10" t="s">
        <v>830</v>
      </c>
      <c r="D251" s="10" t="s">
        <v>1916</v>
      </c>
      <c r="E251" s="10" t="s">
        <v>1391</v>
      </c>
      <c r="F251" s="10" t="s">
        <v>831</v>
      </c>
      <c r="G251" s="11" t="s">
        <v>833</v>
      </c>
      <c r="H251" s="10" t="s">
        <v>12</v>
      </c>
      <c r="I251" s="10" t="s">
        <v>1917</v>
      </c>
      <c r="J251" s="10" t="s">
        <v>121</v>
      </c>
    </row>
    <row r="252" ht="22.5" customHeight="1">
      <c r="A252" s="9">
        <v>46225.67055815972</v>
      </c>
      <c r="B252" s="10" t="s">
        <v>1918</v>
      </c>
      <c r="C252" s="10" t="s">
        <v>834</v>
      </c>
      <c r="D252" s="10" t="s">
        <v>1597</v>
      </c>
      <c r="E252" s="10" t="s">
        <v>1603</v>
      </c>
      <c r="F252" s="10" t="s">
        <v>836</v>
      </c>
      <c r="G252" s="11" t="s">
        <v>837</v>
      </c>
      <c r="H252" s="10" t="s">
        <v>12</v>
      </c>
      <c r="I252" s="10" t="s">
        <v>1919</v>
      </c>
      <c r="J252" s="10" t="s">
        <v>121</v>
      </c>
    </row>
    <row r="253" ht="22.5" customHeight="1">
      <c r="A253" s="9">
        <v>46225.716240821755</v>
      </c>
      <c r="B253" s="10" t="s">
        <v>1920</v>
      </c>
      <c r="C253" s="10" t="s">
        <v>839</v>
      </c>
      <c r="D253" s="10" t="s">
        <v>1921</v>
      </c>
      <c r="E253" s="10" t="s">
        <v>1922</v>
      </c>
      <c r="F253" s="10" t="s">
        <v>840</v>
      </c>
      <c r="G253" s="11" t="s">
        <v>841</v>
      </c>
      <c r="H253" s="10" t="s">
        <v>8</v>
      </c>
      <c r="I253" s="10" t="s">
        <v>358</v>
      </c>
      <c r="J253" s="10" t="s">
        <v>121</v>
      </c>
    </row>
    <row r="254" ht="22.5" customHeight="1">
      <c r="A254" s="9">
        <v>46225.741718634265</v>
      </c>
      <c r="B254" s="10" t="s">
        <v>1923</v>
      </c>
      <c r="C254" s="10" t="s">
        <v>842</v>
      </c>
      <c r="D254" s="10" t="s">
        <v>1809</v>
      </c>
      <c r="E254" s="10" t="s">
        <v>1525</v>
      </c>
      <c r="F254" s="10" t="s">
        <v>843</v>
      </c>
      <c r="G254" s="11" t="s">
        <v>844</v>
      </c>
      <c r="H254" s="10" t="s">
        <v>12</v>
      </c>
      <c r="I254" s="10" t="s">
        <v>1439</v>
      </c>
      <c r="J254" s="10" t="s">
        <v>121</v>
      </c>
    </row>
    <row r="255" ht="22.5" customHeight="1">
      <c r="A255" s="9">
        <v>46225.74328675926</v>
      </c>
      <c r="B255" s="10" t="s">
        <v>1924</v>
      </c>
      <c r="C255" s="10" t="s">
        <v>845</v>
      </c>
      <c r="D255" s="10" t="s">
        <v>1925</v>
      </c>
      <c r="E255" s="10" t="s">
        <v>1926</v>
      </c>
      <c r="F255" s="10" t="s">
        <v>846</v>
      </c>
      <c r="G255" s="11" t="s">
        <v>847</v>
      </c>
      <c r="H255" s="10" t="s">
        <v>12</v>
      </c>
      <c r="I255" s="10" t="s">
        <v>1439</v>
      </c>
      <c r="J255" s="10" t="s">
        <v>121</v>
      </c>
    </row>
    <row r="256" ht="22.5" customHeight="1">
      <c r="A256" s="9">
        <v>46225.87198538195</v>
      </c>
      <c r="B256" s="10" t="s">
        <v>1927</v>
      </c>
      <c r="C256" s="10" t="s">
        <v>848</v>
      </c>
      <c r="D256" s="10">
        <v>24.0</v>
      </c>
      <c r="E256" s="10" t="s">
        <v>1242</v>
      </c>
      <c r="F256" s="10" t="s">
        <v>849</v>
      </c>
      <c r="G256" s="11" t="s">
        <v>850</v>
      </c>
      <c r="H256" s="10" t="s">
        <v>56</v>
      </c>
      <c r="I256" s="10" t="s">
        <v>1928</v>
      </c>
      <c r="J256" s="10" t="s">
        <v>121</v>
      </c>
    </row>
    <row r="257" ht="22.5" customHeight="1">
      <c r="A257" s="9">
        <v>46225.90752099537</v>
      </c>
      <c r="B257" s="10" t="s">
        <v>1929</v>
      </c>
      <c r="C257" s="10" t="s">
        <v>851</v>
      </c>
      <c r="D257" s="10" t="s">
        <v>1930</v>
      </c>
      <c r="E257" s="10" t="s">
        <v>111</v>
      </c>
      <c r="F257" s="10" t="s">
        <v>852</v>
      </c>
      <c r="G257" s="11" t="s">
        <v>853</v>
      </c>
      <c r="H257" s="10" t="s">
        <v>12</v>
      </c>
      <c r="I257" s="10" t="s">
        <v>1275</v>
      </c>
      <c r="J257" s="10" t="s">
        <v>121</v>
      </c>
    </row>
    <row r="258" ht="22.5" customHeight="1">
      <c r="A258" s="9">
        <v>46225.92152822917</v>
      </c>
      <c r="B258" s="10" t="s">
        <v>1931</v>
      </c>
      <c r="C258" s="10" t="s">
        <v>855</v>
      </c>
      <c r="D258" s="10" t="s">
        <v>1291</v>
      </c>
      <c r="E258" s="10" t="s">
        <v>1896</v>
      </c>
      <c r="F258" s="10" t="s">
        <v>856</v>
      </c>
      <c r="G258" s="11" t="s">
        <v>857</v>
      </c>
      <c r="H258" s="10" t="s">
        <v>98</v>
      </c>
      <c r="I258" s="10" t="s">
        <v>1932</v>
      </c>
      <c r="J258" s="10" t="s">
        <v>121</v>
      </c>
    </row>
    <row r="259" ht="22.5" customHeight="1">
      <c r="A259" s="9">
        <v>46225.96611905092</v>
      </c>
      <c r="B259" s="10" t="s">
        <v>1933</v>
      </c>
      <c r="C259" s="10" t="s">
        <v>859</v>
      </c>
      <c r="D259" s="10" t="s">
        <v>1934</v>
      </c>
      <c r="E259" s="10" t="s">
        <v>1935</v>
      </c>
      <c r="F259" s="10" t="s">
        <v>860</v>
      </c>
      <c r="G259" s="11" t="s">
        <v>862</v>
      </c>
      <c r="H259" s="10" t="s">
        <v>8</v>
      </c>
      <c r="I259" s="10" t="s">
        <v>358</v>
      </c>
      <c r="J259" s="10" t="s">
        <v>121</v>
      </c>
    </row>
    <row r="260" ht="22.5" customHeight="1">
      <c r="A260" s="9">
        <v>46225.9789971875</v>
      </c>
      <c r="B260" s="10" t="s">
        <v>1936</v>
      </c>
      <c r="C260" s="10" t="s">
        <v>863</v>
      </c>
      <c r="D260" s="10" t="s">
        <v>1937</v>
      </c>
      <c r="E260" s="10" t="s">
        <v>1938</v>
      </c>
      <c r="F260" s="10" t="s">
        <v>864</v>
      </c>
      <c r="G260" s="11" t="s">
        <v>865</v>
      </c>
      <c r="H260" s="10" t="s">
        <v>12</v>
      </c>
      <c r="I260" s="10" t="s">
        <v>1939</v>
      </c>
      <c r="J260" s="10" t="s">
        <v>121</v>
      </c>
    </row>
    <row r="261" ht="22.5" customHeight="1">
      <c r="A261" s="9">
        <v>46226.02809175926</v>
      </c>
      <c r="B261" s="10" t="s">
        <v>1940</v>
      </c>
      <c r="C261" s="10" t="s">
        <v>866</v>
      </c>
      <c r="D261" s="10" t="s">
        <v>1941</v>
      </c>
      <c r="E261" s="10" t="s">
        <v>1719</v>
      </c>
      <c r="F261" s="10" t="s">
        <v>867</v>
      </c>
      <c r="G261" s="11" t="s">
        <v>868</v>
      </c>
      <c r="H261" s="10" t="s">
        <v>12</v>
      </c>
      <c r="I261" s="10" t="s">
        <v>1942</v>
      </c>
      <c r="J261" s="10" t="s">
        <v>121</v>
      </c>
    </row>
    <row r="262" ht="22.5" customHeight="1">
      <c r="A262" s="9">
        <v>46226.099816898146</v>
      </c>
      <c r="B262" s="10" t="s">
        <v>1943</v>
      </c>
      <c r="C262" s="10" t="s">
        <v>869</v>
      </c>
      <c r="D262" s="10" t="s">
        <v>1944</v>
      </c>
      <c r="E262" s="10" t="s">
        <v>806</v>
      </c>
      <c r="F262" s="10" t="s">
        <v>870</v>
      </c>
      <c r="G262" s="11" t="s">
        <v>871</v>
      </c>
      <c r="H262" s="10" t="s">
        <v>23</v>
      </c>
      <c r="I262" s="10" t="s">
        <v>1945</v>
      </c>
      <c r="J262" s="10" t="s">
        <v>121</v>
      </c>
    </row>
    <row r="263" ht="22.5" customHeight="1">
      <c r="A263" s="9">
        <v>46226.104849247684</v>
      </c>
      <c r="B263" s="10" t="s">
        <v>1946</v>
      </c>
      <c r="C263" s="10" t="s">
        <v>873</v>
      </c>
      <c r="D263" s="10" t="s">
        <v>1947</v>
      </c>
      <c r="E263" s="10" t="s">
        <v>980</v>
      </c>
      <c r="F263" s="10" t="s">
        <v>874</v>
      </c>
      <c r="G263" s="11" t="s">
        <v>875</v>
      </c>
      <c r="H263" s="10" t="s">
        <v>8</v>
      </c>
      <c r="I263" s="10" t="s">
        <v>1948</v>
      </c>
      <c r="J263" s="10" t="s">
        <v>121</v>
      </c>
    </row>
    <row r="264" ht="22.5" customHeight="1">
      <c r="A264" s="9">
        <v>46226.19991498842</v>
      </c>
      <c r="B264" s="10" t="s">
        <v>1949</v>
      </c>
      <c r="C264" s="10" t="s">
        <v>876</v>
      </c>
      <c r="D264" s="10" t="s">
        <v>1950</v>
      </c>
      <c r="E264" s="10" t="s">
        <v>1007</v>
      </c>
      <c r="F264" s="10" t="s">
        <v>877</v>
      </c>
      <c r="G264" s="11" t="s">
        <v>878</v>
      </c>
      <c r="H264" s="10" t="s">
        <v>8</v>
      </c>
      <c r="I264" s="10" t="s">
        <v>1951</v>
      </c>
      <c r="J264" s="10" t="s">
        <v>121</v>
      </c>
    </row>
    <row r="265" ht="22.5" customHeight="1">
      <c r="A265" s="9">
        <v>46226.20160689815</v>
      </c>
      <c r="B265" s="10" t="s">
        <v>1952</v>
      </c>
      <c r="C265" s="10" t="s">
        <v>880</v>
      </c>
      <c r="D265" s="10">
        <v>51.0</v>
      </c>
      <c r="E265" s="10" t="s">
        <v>1953</v>
      </c>
      <c r="F265" s="10" t="s">
        <v>881</v>
      </c>
      <c r="G265" s="11" t="s">
        <v>882</v>
      </c>
      <c r="H265" s="10" t="s">
        <v>12</v>
      </c>
      <c r="I265" s="10" t="s">
        <v>1352</v>
      </c>
      <c r="J265" s="10" t="s">
        <v>121</v>
      </c>
    </row>
    <row r="266" ht="22.5" customHeight="1">
      <c r="A266" s="9">
        <v>46226.395918298615</v>
      </c>
      <c r="B266" s="10" t="s">
        <v>1954</v>
      </c>
      <c r="C266" s="10" t="s">
        <v>883</v>
      </c>
      <c r="D266" s="10" t="s">
        <v>1620</v>
      </c>
      <c r="E266" s="10" t="s">
        <v>1359</v>
      </c>
      <c r="F266" s="10" t="s">
        <v>884</v>
      </c>
      <c r="G266" s="11" t="s">
        <v>886</v>
      </c>
      <c r="H266" s="10" t="s">
        <v>23</v>
      </c>
      <c r="I266" s="10" t="s">
        <v>1727</v>
      </c>
      <c r="J266" s="10" t="s">
        <v>121</v>
      </c>
    </row>
    <row r="267" ht="22.5" customHeight="1">
      <c r="A267" s="9">
        <v>46226.41945744213</v>
      </c>
      <c r="B267" s="10" t="s">
        <v>1955</v>
      </c>
      <c r="C267" s="10" t="s">
        <v>887</v>
      </c>
      <c r="D267" s="10" t="s">
        <v>1956</v>
      </c>
      <c r="E267" s="10" t="s">
        <v>1957</v>
      </c>
      <c r="F267" s="10" t="s">
        <v>889</v>
      </c>
      <c r="G267" s="11" t="s">
        <v>890</v>
      </c>
      <c r="H267" s="10" t="s">
        <v>23</v>
      </c>
      <c r="I267" s="10" t="s">
        <v>1958</v>
      </c>
      <c r="J267" s="10" t="s">
        <v>121</v>
      </c>
    </row>
    <row r="268" ht="22.5" customHeight="1">
      <c r="A268" s="9">
        <v>46226.4943871875</v>
      </c>
      <c r="B268" s="10" t="s">
        <v>1959</v>
      </c>
      <c r="C268" s="10" t="s">
        <v>891</v>
      </c>
      <c r="D268" s="10" t="s">
        <v>1960</v>
      </c>
      <c r="E268" s="10" t="s">
        <v>1961</v>
      </c>
      <c r="F268" s="10" t="s">
        <v>892</v>
      </c>
      <c r="G268" s="10">
        <v>8.801410454048E12</v>
      </c>
      <c r="H268" s="10" t="s">
        <v>894</v>
      </c>
      <c r="I268" s="10" t="s">
        <v>1962</v>
      </c>
      <c r="J268" s="10" t="s">
        <v>121</v>
      </c>
    </row>
    <row r="269" ht="22.5" customHeight="1">
      <c r="A269" s="9">
        <v>46226.54463809028</v>
      </c>
      <c r="B269" s="10" t="s">
        <v>1963</v>
      </c>
      <c r="C269" s="10" t="s">
        <v>895</v>
      </c>
      <c r="D269" s="10" t="s">
        <v>1964</v>
      </c>
      <c r="E269" s="10" t="s">
        <v>1500</v>
      </c>
      <c r="F269" s="10" t="s">
        <v>896</v>
      </c>
      <c r="G269" s="11" t="s">
        <v>897</v>
      </c>
      <c r="H269" s="10" t="s">
        <v>23</v>
      </c>
      <c r="I269" s="10" t="s">
        <v>1965</v>
      </c>
      <c r="J269" s="10" t="s">
        <v>121</v>
      </c>
    </row>
    <row r="270" ht="22.5" customHeight="1">
      <c r="A270" s="9">
        <v>46226.56932576389</v>
      </c>
      <c r="B270" s="10" t="s">
        <v>1966</v>
      </c>
      <c r="C270" s="10" t="s">
        <v>898</v>
      </c>
      <c r="D270" s="10" t="s">
        <v>1967</v>
      </c>
      <c r="E270" s="10" t="s">
        <v>861</v>
      </c>
      <c r="F270" s="10" t="s">
        <v>900</v>
      </c>
      <c r="G270" s="11" t="s">
        <v>901</v>
      </c>
      <c r="H270" s="10" t="s">
        <v>98</v>
      </c>
      <c r="I270" s="10" t="s">
        <v>1968</v>
      </c>
      <c r="J270" s="10" t="s">
        <v>121</v>
      </c>
    </row>
    <row r="271" ht="22.5" customHeight="1">
      <c r="A271" s="9">
        <v>46226.57092738426</v>
      </c>
      <c r="B271" s="10" t="s">
        <v>1969</v>
      </c>
      <c r="C271" s="10" t="s">
        <v>902</v>
      </c>
      <c r="D271" s="10" t="s">
        <v>1970</v>
      </c>
      <c r="E271" s="10" t="s">
        <v>1971</v>
      </c>
      <c r="F271" s="10" t="s">
        <v>903</v>
      </c>
      <c r="G271" s="11" t="s">
        <v>904</v>
      </c>
      <c r="H271" s="10" t="s">
        <v>12</v>
      </c>
      <c r="I271" s="10" t="s">
        <v>1727</v>
      </c>
      <c r="J271" s="10" t="s">
        <v>121</v>
      </c>
    </row>
    <row r="272" ht="22.5" customHeight="1">
      <c r="A272" s="9">
        <v>46226.578401921295</v>
      </c>
      <c r="B272" s="10" t="s">
        <v>1966</v>
      </c>
      <c r="C272" s="10" t="s">
        <v>898</v>
      </c>
      <c r="D272" s="10" t="s">
        <v>1967</v>
      </c>
      <c r="E272" s="10" t="s">
        <v>861</v>
      </c>
      <c r="F272" s="10" t="s">
        <v>900</v>
      </c>
      <c r="G272" s="11" t="s">
        <v>901</v>
      </c>
      <c r="H272" s="10" t="s">
        <v>98</v>
      </c>
      <c r="I272" s="10" t="s">
        <v>1968</v>
      </c>
      <c r="J272" s="10" t="s">
        <v>121</v>
      </c>
    </row>
    <row r="273" ht="22.5" customHeight="1">
      <c r="A273" s="9">
        <v>46226.57869967593</v>
      </c>
      <c r="B273" s="10" t="s">
        <v>1972</v>
      </c>
      <c r="C273" s="10" t="s">
        <v>905</v>
      </c>
      <c r="D273" s="10" t="s">
        <v>1973</v>
      </c>
      <c r="E273" s="10" t="s">
        <v>1974</v>
      </c>
      <c r="F273" s="10" t="s">
        <v>906</v>
      </c>
      <c r="G273" s="11" t="s">
        <v>907</v>
      </c>
      <c r="H273" s="10" t="s">
        <v>908</v>
      </c>
      <c r="I273" s="10" t="s">
        <v>1968</v>
      </c>
      <c r="J273" s="10" t="s">
        <v>121</v>
      </c>
    </row>
    <row r="274" ht="22.5" customHeight="1">
      <c r="A274" s="9">
        <v>46226.587438946764</v>
      </c>
      <c r="B274" s="10" t="s">
        <v>1975</v>
      </c>
      <c r="C274" s="10" t="s">
        <v>910</v>
      </c>
      <c r="D274" s="10" t="s">
        <v>1976</v>
      </c>
      <c r="E274" s="10" t="s">
        <v>374</v>
      </c>
      <c r="F274" s="10" t="s">
        <v>911</v>
      </c>
      <c r="G274" s="11" t="s">
        <v>912</v>
      </c>
      <c r="H274" s="10" t="s">
        <v>12</v>
      </c>
      <c r="I274" s="10" t="s">
        <v>1977</v>
      </c>
      <c r="J274" s="10" t="s">
        <v>121</v>
      </c>
    </row>
    <row r="275" ht="22.5" customHeight="1">
      <c r="A275" s="9">
        <v>46226.590489953705</v>
      </c>
      <c r="B275" s="10" t="s">
        <v>1978</v>
      </c>
      <c r="C275" s="10" t="s">
        <v>913</v>
      </c>
      <c r="D275" s="10" t="s">
        <v>1979</v>
      </c>
      <c r="E275" s="10" t="s">
        <v>1778</v>
      </c>
      <c r="F275" s="10" t="s">
        <v>914</v>
      </c>
      <c r="G275" s="10" t="s">
        <v>915</v>
      </c>
      <c r="H275" s="10" t="s">
        <v>23</v>
      </c>
      <c r="I275" s="10" t="s">
        <v>1980</v>
      </c>
      <c r="J275" s="10" t="s">
        <v>121</v>
      </c>
    </row>
    <row r="276" ht="22.5" customHeight="1">
      <c r="A276" s="9">
        <v>46226.62215417824</v>
      </c>
      <c r="B276" s="10" t="s">
        <v>1981</v>
      </c>
      <c r="C276" s="10" t="s">
        <v>917</v>
      </c>
      <c r="D276" s="10" t="s">
        <v>1344</v>
      </c>
      <c r="E276" s="10" t="s">
        <v>1511</v>
      </c>
      <c r="F276" s="10" t="s">
        <v>918</v>
      </c>
      <c r="G276" s="11" t="s">
        <v>919</v>
      </c>
      <c r="H276" s="10" t="s">
        <v>23</v>
      </c>
      <c r="I276" s="10" t="s">
        <v>1360</v>
      </c>
      <c r="J276" s="10" t="s">
        <v>121</v>
      </c>
    </row>
    <row r="277" ht="22.5" customHeight="1">
      <c r="A277" s="9">
        <v>46226.639917002314</v>
      </c>
      <c r="B277" s="10" t="s">
        <v>1982</v>
      </c>
      <c r="C277" s="10" t="s">
        <v>920</v>
      </c>
      <c r="D277" s="10" t="s">
        <v>1983</v>
      </c>
      <c r="E277" s="10" t="s">
        <v>1318</v>
      </c>
      <c r="F277" s="10" t="s">
        <v>921</v>
      </c>
      <c r="G277" s="11" t="s">
        <v>922</v>
      </c>
      <c r="H277" s="10" t="s">
        <v>12</v>
      </c>
      <c r="I277" s="10" t="s">
        <v>1984</v>
      </c>
      <c r="J277" s="10" t="s">
        <v>121</v>
      </c>
    </row>
    <row r="278" ht="22.5" customHeight="1">
      <c r="A278" s="9">
        <v>46226.644019583335</v>
      </c>
      <c r="B278" s="10" t="s">
        <v>1985</v>
      </c>
      <c r="C278" s="10" t="s">
        <v>923</v>
      </c>
      <c r="D278" s="10" t="s">
        <v>1986</v>
      </c>
      <c r="E278" s="10" t="s">
        <v>1987</v>
      </c>
      <c r="F278" s="10" t="s">
        <v>924</v>
      </c>
      <c r="G278" s="11" t="s">
        <v>925</v>
      </c>
      <c r="H278" s="10" t="s">
        <v>8</v>
      </c>
      <c r="I278" s="10" t="s">
        <v>1988</v>
      </c>
      <c r="J278" s="10" t="s">
        <v>121</v>
      </c>
    </row>
    <row r="279" ht="22.5" customHeight="1">
      <c r="A279" s="9">
        <v>46226.6646602199</v>
      </c>
      <c r="B279" s="10" t="s">
        <v>1989</v>
      </c>
      <c r="C279" s="10" t="s">
        <v>926</v>
      </c>
      <c r="D279" s="10" t="s">
        <v>1990</v>
      </c>
      <c r="E279" s="10" t="s">
        <v>1991</v>
      </c>
      <c r="F279" s="10" t="s">
        <v>927</v>
      </c>
      <c r="G279" s="11" t="s">
        <v>928</v>
      </c>
      <c r="H279" s="10" t="s">
        <v>12</v>
      </c>
      <c r="I279" s="10" t="s">
        <v>1275</v>
      </c>
      <c r="J279" s="10" t="s">
        <v>121</v>
      </c>
    </row>
    <row r="280" ht="22.5" customHeight="1">
      <c r="A280" s="9">
        <v>46226.72952208333</v>
      </c>
      <c r="B280" s="10" t="s">
        <v>1992</v>
      </c>
      <c r="C280" s="10" t="s">
        <v>930</v>
      </c>
      <c r="D280" s="10" t="s">
        <v>1993</v>
      </c>
      <c r="E280" s="10" t="s">
        <v>1994</v>
      </c>
      <c r="F280" s="10" t="s">
        <v>931</v>
      </c>
      <c r="G280" s="11" t="s">
        <v>932</v>
      </c>
      <c r="H280" s="10" t="s">
        <v>23</v>
      </c>
      <c r="I280" s="10" t="s">
        <v>23</v>
      </c>
      <c r="J280" s="10" t="s">
        <v>121</v>
      </c>
    </row>
    <row r="281" ht="22.5" customHeight="1">
      <c r="A281" s="9">
        <v>46226.78121512731</v>
      </c>
      <c r="B281" s="10" t="s">
        <v>1995</v>
      </c>
      <c r="C281" s="10" t="s">
        <v>933</v>
      </c>
      <c r="D281" s="10" t="s">
        <v>1996</v>
      </c>
      <c r="E281" s="10" t="s">
        <v>500</v>
      </c>
      <c r="F281" s="10" t="s">
        <v>934</v>
      </c>
      <c r="G281" s="11" t="s">
        <v>935</v>
      </c>
      <c r="H281" s="10" t="s">
        <v>936</v>
      </c>
      <c r="I281" s="10" t="s">
        <v>1275</v>
      </c>
      <c r="J281" s="10" t="s">
        <v>121</v>
      </c>
    </row>
    <row r="282" ht="22.5" customHeight="1">
      <c r="A282" s="9">
        <v>46226.79940670139</v>
      </c>
      <c r="B282" s="10" t="s">
        <v>1997</v>
      </c>
      <c r="C282" s="10" t="s">
        <v>937</v>
      </c>
      <c r="D282" s="10" t="s">
        <v>1998</v>
      </c>
      <c r="E282" s="10" t="s">
        <v>610</v>
      </c>
      <c r="F282" s="10" t="s">
        <v>938</v>
      </c>
      <c r="G282" s="11" t="s">
        <v>940</v>
      </c>
      <c r="H282" s="10" t="s">
        <v>63</v>
      </c>
      <c r="I282" s="10" t="s">
        <v>1435</v>
      </c>
      <c r="J282" s="10" t="s">
        <v>121</v>
      </c>
    </row>
    <row r="283" ht="22.5" customHeight="1">
      <c r="A283" s="9">
        <v>46226.873248460644</v>
      </c>
      <c r="B283" s="10" t="s">
        <v>1999</v>
      </c>
      <c r="C283" s="10" t="s">
        <v>941</v>
      </c>
      <c r="D283" s="10" t="s">
        <v>2000</v>
      </c>
      <c r="E283" s="10" t="s">
        <v>1404</v>
      </c>
      <c r="F283" s="10" t="s">
        <v>942</v>
      </c>
      <c r="G283" s="11" t="s">
        <v>943</v>
      </c>
      <c r="H283" s="10" t="s">
        <v>8</v>
      </c>
      <c r="I283" s="10" t="s">
        <v>1360</v>
      </c>
      <c r="J283" s="10" t="s">
        <v>121</v>
      </c>
    </row>
    <row r="284" ht="22.5" customHeight="1">
      <c r="A284" s="9">
        <v>46226.879354143515</v>
      </c>
      <c r="B284" s="10" t="s">
        <v>2001</v>
      </c>
      <c r="C284" s="10" t="s">
        <v>944</v>
      </c>
      <c r="D284" s="10">
        <v>46.0</v>
      </c>
      <c r="E284" s="10" t="s">
        <v>1865</v>
      </c>
      <c r="F284" s="10" t="s">
        <v>946</v>
      </c>
      <c r="G284" s="11" t="s">
        <v>947</v>
      </c>
      <c r="H284" s="10" t="s">
        <v>23</v>
      </c>
      <c r="I284" s="10" t="s">
        <v>2002</v>
      </c>
      <c r="J284" s="10" t="s">
        <v>121</v>
      </c>
    </row>
    <row r="285" ht="22.5" customHeight="1">
      <c r="A285" s="9">
        <v>46226.935816770834</v>
      </c>
      <c r="B285" s="10" t="s">
        <v>2003</v>
      </c>
      <c r="C285" s="10" t="s">
        <v>949</v>
      </c>
      <c r="D285" s="10" t="s">
        <v>2004</v>
      </c>
      <c r="E285" s="10" t="s">
        <v>2005</v>
      </c>
      <c r="F285" s="10" t="s">
        <v>950</v>
      </c>
      <c r="G285" s="11" t="s">
        <v>951</v>
      </c>
      <c r="H285" s="10" t="s">
        <v>63</v>
      </c>
      <c r="I285" s="10" t="s">
        <v>1450</v>
      </c>
      <c r="J285" s="10" t="s">
        <v>121</v>
      </c>
    </row>
    <row r="286" ht="22.5" customHeight="1">
      <c r="A286" s="9">
        <v>46226.94118324074</v>
      </c>
      <c r="B286" s="10" t="s">
        <v>2006</v>
      </c>
      <c r="C286" s="10" t="s">
        <v>952</v>
      </c>
      <c r="D286" s="10" t="s">
        <v>2007</v>
      </c>
      <c r="E286" s="10" t="s">
        <v>2008</v>
      </c>
      <c r="F286" s="10" t="s">
        <v>953</v>
      </c>
      <c r="G286" s="11" t="s">
        <v>954</v>
      </c>
      <c r="H286" s="10" t="s">
        <v>955</v>
      </c>
      <c r="I286" s="10" t="s">
        <v>2009</v>
      </c>
      <c r="J286" s="10" t="s">
        <v>121</v>
      </c>
    </row>
    <row r="287" ht="22.5" customHeight="1">
      <c r="A287" s="9">
        <v>46226.9677699537</v>
      </c>
      <c r="B287" s="10" t="s">
        <v>2010</v>
      </c>
      <c r="C287" s="10" t="s">
        <v>956</v>
      </c>
      <c r="D287" s="10" t="s">
        <v>2011</v>
      </c>
      <c r="E287" s="10" t="s">
        <v>2012</v>
      </c>
      <c r="F287" s="10" t="s">
        <v>957</v>
      </c>
      <c r="G287" s="11" t="s">
        <v>958</v>
      </c>
      <c r="H287" s="10" t="s">
        <v>63</v>
      </c>
      <c r="I287" s="10" t="s">
        <v>1919</v>
      </c>
      <c r="J287" s="10" t="s">
        <v>121</v>
      </c>
    </row>
    <row r="288" ht="22.5" customHeight="1">
      <c r="A288" s="9">
        <v>46227.0245046412</v>
      </c>
      <c r="B288" s="10" t="s">
        <v>2013</v>
      </c>
      <c r="C288" s="10" t="s">
        <v>959</v>
      </c>
      <c r="D288" s="10" t="s">
        <v>2014</v>
      </c>
      <c r="E288" s="10" t="s">
        <v>1493</v>
      </c>
      <c r="F288" s="10" t="s">
        <v>960</v>
      </c>
      <c r="G288" s="11" t="s">
        <v>962</v>
      </c>
      <c r="H288" s="10" t="s">
        <v>23</v>
      </c>
      <c r="I288" s="10" t="s">
        <v>2015</v>
      </c>
      <c r="J288" s="10" t="s">
        <v>121</v>
      </c>
    </row>
    <row r="289" ht="22.5" customHeight="1">
      <c r="A289" s="9">
        <v>46227.03945578704</v>
      </c>
      <c r="B289" s="10" t="s">
        <v>2016</v>
      </c>
      <c r="C289" s="10" t="s">
        <v>963</v>
      </c>
      <c r="D289" s="10" t="s">
        <v>2017</v>
      </c>
      <c r="E289" s="10" t="s">
        <v>2018</v>
      </c>
      <c r="F289" s="10" t="s">
        <v>964</v>
      </c>
      <c r="G289" s="11" t="s">
        <v>965</v>
      </c>
      <c r="H289" s="10" t="s">
        <v>8</v>
      </c>
      <c r="I289" s="10" t="s">
        <v>2019</v>
      </c>
      <c r="J289" s="10" t="s">
        <v>121</v>
      </c>
    </row>
    <row r="290" ht="22.5" customHeight="1">
      <c r="A290" s="9">
        <v>46227.04153256945</v>
      </c>
      <c r="B290" s="10" t="s">
        <v>2020</v>
      </c>
      <c r="C290" s="10" t="s">
        <v>966</v>
      </c>
      <c r="D290" s="10" t="s">
        <v>2021</v>
      </c>
      <c r="E290" s="10" t="s">
        <v>1603</v>
      </c>
      <c r="F290" s="10" t="s">
        <v>967</v>
      </c>
      <c r="G290" s="11" t="s">
        <v>968</v>
      </c>
      <c r="H290" s="10" t="s">
        <v>8</v>
      </c>
      <c r="I290" s="10" t="s">
        <v>1504</v>
      </c>
      <c r="J290" s="10" t="s">
        <v>121</v>
      </c>
    </row>
    <row r="291" ht="22.5" customHeight="1">
      <c r="A291" s="9">
        <v>46227.04908887732</v>
      </c>
      <c r="B291" s="10" t="s">
        <v>2022</v>
      </c>
      <c r="C291" s="10" t="s">
        <v>2023</v>
      </c>
      <c r="D291" s="10" t="s">
        <v>1745</v>
      </c>
      <c r="E291" s="10" t="s">
        <v>111</v>
      </c>
      <c r="F291" s="10" t="s">
        <v>2024</v>
      </c>
      <c r="G291" s="11" t="s">
        <v>2025</v>
      </c>
      <c r="H291" s="10" t="s">
        <v>8</v>
      </c>
      <c r="I291" s="10" t="s">
        <v>1439</v>
      </c>
      <c r="J291" s="10" t="s">
        <v>95</v>
      </c>
    </row>
    <row r="292" ht="22.5" customHeight="1">
      <c r="A292" s="9">
        <v>46227.04909583333</v>
      </c>
      <c r="B292" s="10" t="s">
        <v>2026</v>
      </c>
      <c r="C292" s="10" t="s">
        <v>970</v>
      </c>
      <c r="D292" s="10" t="s">
        <v>2027</v>
      </c>
      <c r="E292" s="10" t="s">
        <v>1242</v>
      </c>
      <c r="F292" s="10" t="s">
        <v>971</v>
      </c>
      <c r="G292" s="11" t="s">
        <v>972</v>
      </c>
      <c r="H292" s="10" t="s">
        <v>12</v>
      </c>
      <c r="I292" s="10" t="s">
        <v>2028</v>
      </c>
      <c r="J292" s="10" t="s">
        <v>121</v>
      </c>
    </row>
    <row r="293" ht="22.5" customHeight="1">
      <c r="A293" s="9">
        <v>46227.04950872685</v>
      </c>
      <c r="B293" s="10" t="s">
        <v>2029</v>
      </c>
      <c r="C293" s="10" t="s">
        <v>973</v>
      </c>
      <c r="D293" s="10" t="s">
        <v>2030</v>
      </c>
      <c r="E293" s="10" t="s">
        <v>2018</v>
      </c>
      <c r="F293" s="10" t="s">
        <v>974</v>
      </c>
      <c r="G293" s="11" t="s">
        <v>975</v>
      </c>
      <c r="H293" s="10" t="s">
        <v>12</v>
      </c>
      <c r="I293" s="10" t="s">
        <v>1311</v>
      </c>
      <c r="J293" s="10" t="s">
        <v>121</v>
      </c>
    </row>
    <row r="294" ht="22.5" customHeight="1">
      <c r="A294" s="9">
        <v>46227.05329394676</v>
      </c>
      <c r="B294" s="10" t="s">
        <v>2031</v>
      </c>
      <c r="C294" s="10" t="s">
        <v>977</v>
      </c>
      <c r="D294" s="10" t="s">
        <v>2032</v>
      </c>
      <c r="E294" s="10" t="s">
        <v>2018</v>
      </c>
      <c r="F294" s="10" t="s">
        <v>978</v>
      </c>
      <c r="G294" s="11" t="s">
        <v>979</v>
      </c>
      <c r="H294" s="10" t="s">
        <v>12</v>
      </c>
      <c r="I294" s="10" t="s">
        <v>2033</v>
      </c>
      <c r="J294" s="10" t="s">
        <v>121</v>
      </c>
    </row>
    <row r="295" ht="22.5" customHeight="1">
      <c r="A295" s="9">
        <v>46227.054009872685</v>
      </c>
      <c r="B295" s="10" t="s">
        <v>2034</v>
      </c>
      <c r="C295" s="10" t="s">
        <v>981</v>
      </c>
      <c r="D295" s="10" t="s">
        <v>1384</v>
      </c>
      <c r="E295" s="10" t="s">
        <v>2035</v>
      </c>
      <c r="F295" s="10" t="s">
        <v>982</v>
      </c>
      <c r="G295" s="11" t="s">
        <v>983</v>
      </c>
      <c r="H295" s="10" t="s">
        <v>12</v>
      </c>
      <c r="I295" s="10" t="s">
        <v>1335</v>
      </c>
      <c r="J295" s="10" t="s">
        <v>121</v>
      </c>
    </row>
    <row r="296" ht="22.5" customHeight="1">
      <c r="A296" s="9">
        <v>46227.05736211805</v>
      </c>
      <c r="B296" s="10" t="s">
        <v>2036</v>
      </c>
      <c r="C296" s="10" t="s">
        <v>984</v>
      </c>
      <c r="D296" s="10" t="s">
        <v>2037</v>
      </c>
      <c r="E296" s="10" t="s">
        <v>1647</v>
      </c>
      <c r="F296" s="10" t="s">
        <v>985</v>
      </c>
      <c r="G296" s="11" t="s">
        <v>986</v>
      </c>
      <c r="H296" s="10" t="s">
        <v>12</v>
      </c>
      <c r="I296" s="10" t="s">
        <v>1468</v>
      </c>
      <c r="J296" s="10" t="s">
        <v>121</v>
      </c>
    </row>
    <row r="297" ht="22.5" customHeight="1">
      <c r="A297" s="9">
        <v>46227.06695445602</v>
      </c>
      <c r="B297" s="10" t="s">
        <v>2038</v>
      </c>
      <c r="C297" s="10" t="s">
        <v>987</v>
      </c>
      <c r="D297" s="10" t="s">
        <v>2037</v>
      </c>
      <c r="E297" s="10" t="s">
        <v>1262</v>
      </c>
      <c r="F297" s="10" t="s">
        <v>988</v>
      </c>
      <c r="G297" s="11" t="s">
        <v>989</v>
      </c>
      <c r="H297" s="10" t="s">
        <v>8</v>
      </c>
      <c r="I297" s="10" t="s">
        <v>2039</v>
      </c>
      <c r="J297" s="10" t="s">
        <v>121</v>
      </c>
    </row>
    <row r="298" ht="22.5" customHeight="1">
      <c r="A298" s="9">
        <v>46227.17314204861</v>
      </c>
      <c r="B298" s="10" t="s">
        <v>2040</v>
      </c>
      <c r="C298" s="10" t="s">
        <v>991</v>
      </c>
      <c r="D298" s="10" t="s">
        <v>2004</v>
      </c>
      <c r="E298" s="10" t="s">
        <v>2041</v>
      </c>
      <c r="F298" s="10" t="s">
        <v>992</v>
      </c>
      <c r="G298" s="11" t="s">
        <v>993</v>
      </c>
      <c r="H298" s="10" t="s">
        <v>12</v>
      </c>
      <c r="I298" s="10" t="s">
        <v>1311</v>
      </c>
      <c r="J298" s="10" t="s">
        <v>121</v>
      </c>
    </row>
    <row r="299" ht="22.5" customHeight="1">
      <c r="A299" s="9">
        <v>46227.19309270833</v>
      </c>
      <c r="B299" s="10" t="s">
        <v>2042</v>
      </c>
      <c r="C299" s="10" t="s">
        <v>994</v>
      </c>
      <c r="D299" s="10" t="s">
        <v>2043</v>
      </c>
      <c r="E299" s="10" t="s">
        <v>1091</v>
      </c>
      <c r="F299" s="10" t="s">
        <v>995</v>
      </c>
      <c r="G299" s="11" t="s">
        <v>996</v>
      </c>
      <c r="H299" s="10" t="s">
        <v>8</v>
      </c>
      <c r="I299" s="10" t="s">
        <v>2044</v>
      </c>
      <c r="J299" s="10" t="s">
        <v>121</v>
      </c>
    </row>
    <row r="300" ht="22.5" customHeight="1">
      <c r="A300" s="9">
        <v>46227.241791458335</v>
      </c>
      <c r="B300" s="10" t="s">
        <v>2045</v>
      </c>
      <c r="C300" s="10" t="s">
        <v>998</v>
      </c>
      <c r="D300" s="10" t="s">
        <v>1437</v>
      </c>
      <c r="E300" s="10" t="s">
        <v>2046</v>
      </c>
      <c r="F300" s="10" t="s">
        <v>999</v>
      </c>
      <c r="G300" s="10" t="s">
        <v>1000</v>
      </c>
      <c r="H300" s="10" t="s">
        <v>23</v>
      </c>
      <c r="I300" s="10" t="s">
        <v>2047</v>
      </c>
      <c r="J300" s="10" t="s">
        <v>121</v>
      </c>
    </row>
    <row r="301" ht="22.5" customHeight="1">
      <c r="A301" s="9">
        <v>46227.24260344908</v>
      </c>
      <c r="B301" s="10" t="s">
        <v>2048</v>
      </c>
      <c r="C301" s="10" t="s">
        <v>1001</v>
      </c>
      <c r="D301" s="10" t="s">
        <v>2049</v>
      </c>
      <c r="E301" s="10" t="s">
        <v>2050</v>
      </c>
      <c r="F301" s="10" t="s">
        <v>1002</v>
      </c>
      <c r="G301" s="11" t="s">
        <v>1003</v>
      </c>
      <c r="H301" s="10" t="s">
        <v>12</v>
      </c>
      <c r="I301" s="10" t="s">
        <v>1160</v>
      </c>
      <c r="J301" s="10" t="s">
        <v>121</v>
      </c>
    </row>
    <row r="302" ht="22.5" customHeight="1">
      <c r="A302" s="9">
        <v>46227.263563263885</v>
      </c>
      <c r="B302" s="10" t="s">
        <v>2051</v>
      </c>
      <c r="C302" s="10" t="s">
        <v>1005</v>
      </c>
      <c r="D302" s="10">
        <v>54.0</v>
      </c>
      <c r="E302" s="10" t="s">
        <v>806</v>
      </c>
      <c r="F302" s="10" t="s">
        <v>1006</v>
      </c>
      <c r="G302" s="11" t="s">
        <v>1008</v>
      </c>
      <c r="H302" s="10" t="s">
        <v>242</v>
      </c>
      <c r="I302" s="10" t="s">
        <v>2052</v>
      </c>
      <c r="J302" s="10" t="s">
        <v>121</v>
      </c>
    </row>
    <row r="303" ht="22.5" customHeight="1">
      <c r="A303" s="9">
        <v>46227.28373332176</v>
      </c>
      <c r="B303" s="10" t="s">
        <v>2053</v>
      </c>
      <c r="C303" s="10" t="s">
        <v>1009</v>
      </c>
      <c r="D303" s="10" t="s">
        <v>2054</v>
      </c>
      <c r="E303" s="10" t="s">
        <v>2055</v>
      </c>
      <c r="F303" s="10" t="s">
        <v>1010</v>
      </c>
      <c r="G303" s="11" t="s">
        <v>1011</v>
      </c>
      <c r="H303" s="10" t="s">
        <v>8</v>
      </c>
      <c r="I303" s="10" t="s">
        <v>8</v>
      </c>
      <c r="J303" s="10" t="s">
        <v>121</v>
      </c>
    </row>
    <row r="304" ht="22.5" customHeight="1">
      <c r="A304" s="9">
        <v>46227.417726458334</v>
      </c>
      <c r="B304" s="10" t="s">
        <v>2056</v>
      </c>
      <c r="C304" s="10" t="s">
        <v>1012</v>
      </c>
      <c r="D304" s="10" t="s">
        <v>2057</v>
      </c>
      <c r="E304" s="10" t="s">
        <v>1763</v>
      </c>
      <c r="F304" s="10" t="s">
        <v>1013</v>
      </c>
      <c r="G304" s="11" t="s">
        <v>1014</v>
      </c>
      <c r="H304" s="10" t="s">
        <v>80</v>
      </c>
      <c r="I304" s="10" t="s">
        <v>2058</v>
      </c>
      <c r="J304" s="10" t="s">
        <v>121</v>
      </c>
    </row>
    <row r="305" ht="22.5" customHeight="1">
      <c r="A305" s="9">
        <v>46227.44258638889</v>
      </c>
      <c r="B305" s="10" t="s">
        <v>2059</v>
      </c>
      <c r="C305" s="10" t="s">
        <v>2060</v>
      </c>
      <c r="D305" s="10" t="s">
        <v>2061</v>
      </c>
      <c r="E305" s="10" t="s">
        <v>2062</v>
      </c>
      <c r="F305" s="10" t="s">
        <v>2063</v>
      </c>
      <c r="G305" s="11" t="s">
        <v>2064</v>
      </c>
      <c r="H305" s="10" t="s">
        <v>8</v>
      </c>
      <c r="I305" s="10" t="s">
        <v>2065</v>
      </c>
      <c r="J305" s="10" t="s">
        <v>95</v>
      </c>
    </row>
    <row r="306" ht="22.5" customHeight="1">
      <c r="A306" s="9">
        <v>46227.44555791667</v>
      </c>
      <c r="B306" s="10" t="s">
        <v>2066</v>
      </c>
      <c r="C306" s="10" t="s">
        <v>1015</v>
      </c>
      <c r="D306" s="10" t="s">
        <v>1437</v>
      </c>
      <c r="E306" s="10" t="s">
        <v>2067</v>
      </c>
      <c r="F306" s="10" t="s">
        <v>1017</v>
      </c>
      <c r="G306" s="11" t="s">
        <v>1018</v>
      </c>
      <c r="H306" s="10" t="s">
        <v>12</v>
      </c>
      <c r="I306" s="10" t="s">
        <v>1275</v>
      </c>
      <c r="J306" s="10" t="s">
        <v>121</v>
      </c>
    </row>
    <row r="307" ht="22.5" customHeight="1">
      <c r="A307" s="9">
        <v>46227.449881875</v>
      </c>
      <c r="B307" s="10" t="s">
        <v>2068</v>
      </c>
      <c r="C307" s="10" t="s">
        <v>1019</v>
      </c>
      <c r="D307" s="10" t="s">
        <v>2069</v>
      </c>
      <c r="E307" s="10" t="s">
        <v>136</v>
      </c>
      <c r="F307" s="10" t="s">
        <v>1020</v>
      </c>
      <c r="G307" s="11" t="s">
        <v>1021</v>
      </c>
      <c r="H307" s="10" t="s">
        <v>8</v>
      </c>
      <c r="I307" s="10" t="s">
        <v>1504</v>
      </c>
      <c r="J307" s="10" t="s">
        <v>121</v>
      </c>
    </row>
    <row r="308" ht="22.5" customHeight="1">
      <c r="A308" s="9">
        <v>46227.452434375</v>
      </c>
      <c r="B308" s="10" t="s">
        <v>2070</v>
      </c>
      <c r="C308" s="10" t="s">
        <v>2071</v>
      </c>
      <c r="D308" s="10" t="s">
        <v>2072</v>
      </c>
      <c r="E308" s="10" t="s">
        <v>2073</v>
      </c>
      <c r="F308" s="10" t="s">
        <v>2074</v>
      </c>
      <c r="G308" s="11" t="s">
        <v>2075</v>
      </c>
      <c r="H308" s="10" t="s">
        <v>12</v>
      </c>
      <c r="I308" s="10" t="s">
        <v>2076</v>
      </c>
      <c r="J308" s="10" t="s">
        <v>95</v>
      </c>
    </row>
    <row r="309" ht="22.5" customHeight="1">
      <c r="A309" s="9">
        <v>46227.45812660879</v>
      </c>
      <c r="B309" s="10" t="s">
        <v>2077</v>
      </c>
      <c r="C309" s="10" t="s">
        <v>1022</v>
      </c>
      <c r="D309" s="10" t="s">
        <v>2078</v>
      </c>
      <c r="E309" s="10" t="s">
        <v>1511</v>
      </c>
      <c r="F309" s="10" t="s">
        <v>1023</v>
      </c>
      <c r="G309" s="11" t="s">
        <v>1024</v>
      </c>
      <c r="H309" s="10" t="s">
        <v>8</v>
      </c>
      <c r="I309" s="10" t="s">
        <v>1984</v>
      </c>
      <c r="J309" s="10" t="s">
        <v>121</v>
      </c>
    </row>
    <row r="310" ht="22.5" customHeight="1">
      <c r="A310" s="9">
        <v>46227.474419895836</v>
      </c>
      <c r="B310" s="10" t="s">
        <v>2079</v>
      </c>
      <c r="C310" s="10" t="s">
        <v>1026</v>
      </c>
      <c r="D310" s="10" t="s">
        <v>2080</v>
      </c>
      <c r="E310" s="10" t="s">
        <v>2081</v>
      </c>
      <c r="F310" s="10" t="s">
        <v>1027</v>
      </c>
      <c r="G310" s="11" t="s">
        <v>1028</v>
      </c>
      <c r="H310" s="10" t="s">
        <v>12</v>
      </c>
      <c r="I310" s="10" t="s">
        <v>2082</v>
      </c>
      <c r="J310" s="10" t="s">
        <v>121</v>
      </c>
    </row>
    <row r="311" ht="22.5" customHeight="1">
      <c r="A311" s="9">
        <v>46227.47573435185</v>
      </c>
      <c r="B311" s="10" t="s">
        <v>2083</v>
      </c>
      <c r="C311" s="10" t="s">
        <v>1029</v>
      </c>
      <c r="D311" s="10">
        <v>48.0</v>
      </c>
      <c r="E311" s="10" t="s">
        <v>111</v>
      </c>
      <c r="F311" s="10" t="s">
        <v>1031</v>
      </c>
      <c r="G311" s="11" t="s">
        <v>1032</v>
      </c>
      <c r="H311" s="10" t="s">
        <v>98</v>
      </c>
      <c r="I311" s="10" t="s">
        <v>2084</v>
      </c>
      <c r="J311" s="10" t="s">
        <v>121</v>
      </c>
    </row>
    <row r="312" ht="22.5" customHeight="1">
      <c r="A312" s="9">
        <v>46227.478336134256</v>
      </c>
      <c r="B312" s="10" t="s">
        <v>2085</v>
      </c>
      <c r="C312" s="10" t="s">
        <v>1034</v>
      </c>
      <c r="D312" s="10">
        <v>48.0</v>
      </c>
      <c r="E312" s="10" t="s">
        <v>1503</v>
      </c>
      <c r="F312" s="10" t="s">
        <v>1035</v>
      </c>
      <c r="G312" s="11" t="s">
        <v>1036</v>
      </c>
      <c r="H312" s="10" t="s">
        <v>23</v>
      </c>
      <c r="I312" s="10" t="s">
        <v>2086</v>
      </c>
      <c r="J312" s="10" t="s">
        <v>121</v>
      </c>
    </row>
    <row r="313" ht="22.5" customHeight="1">
      <c r="A313" s="9">
        <v>46227.519454293986</v>
      </c>
      <c r="B313" s="10" t="s">
        <v>2087</v>
      </c>
      <c r="C313" s="10" t="s">
        <v>1037</v>
      </c>
      <c r="D313" s="10" t="s">
        <v>2088</v>
      </c>
      <c r="E313" s="10" t="s">
        <v>2089</v>
      </c>
      <c r="F313" s="10" t="s">
        <v>1038</v>
      </c>
      <c r="G313" s="11" t="s">
        <v>1039</v>
      </c>
      <c r="H313" s="10" t="s">
        <v>8</v>
      </c>
      <c r="I313" s="10" t="s">
        <v>2090</v>
      </c>
      <c r="J313" s="10" t="s">
        <v>121</v>
      </c>
    </row>
    <row r="314" ht="22.5" customHeight="1">
      <c r="A314" s="9">
        <v>46227.52032265047</v>
      </c>
      <c r="B314" s="10" t="s">
        <v>2091</v>
      </c>
      <c r="C314" s="10" t="s">
        <v>1040</v>
      </c>
      <c r="D314" s="10" t="s">
        <v>2092</v>
      </c>
      <c r="E314" s="10" t="s">
        <v>1537</v>
      </c>
      <c r="F314" s="10" t="s">
        <v>1041</v>
      </c>
      <c r="G314" s="11" t="s">
        <v>1042</v>
      </c>
      <c r="H314" s="10" t="s">
        <v>12</v>
      </c>
      <c r="I314" s="10" t="s">
        <v>2093</v>
      </c>
      <c r="J314" s="10" t="s">
        <v>121</v>
      </c>
    </row>
    <row r="315" ht="22.5" customHeight="1">
      <c r="A315" s="9">
        <v>46227.52244690972</v>
      </c>
      <c r="B315" s="10" t="s">
        <v>2094</v>
      </c>
      <c r="C315" s="10" t="s">
        <v>1043</v>
      </c>
      <c r="D315" s="10" t="s">
        <v>2095</v>
      </c>
      <c r="E315" s="10" t="s">
        <v>1769</v>
      </c>
      <c r="F315" s="10" t="s">
        <v>1044</v>
      </c>
      <c r="G315" s="11" t="s">
        <v>1045</v>
      </c>
      <c r="H315" s="10" t="s">
        <v>539</v>
      </c>
      <c r="I315" s="10" t="s">
        <v>2096</v>
      </c>
      <c r="J315" s="10" t="s">
        <v>121</v>
      </c>
    </row>
    <row r="316" ht="22.5" customHeight="1">
      <c r="A316" s="9">
        <v>46227.54693532408</v>
      </c>
      <c r="B316" s="10" t="s">
        <v>2097</v>
      </c>
      <c r="C316" s="10" t="s">
        <v>1046</v>
      </c>
      <c r="D316" s="10" t="s">
        <v>2098</v>
      </c>
      <c r="E316" s="10" t="s">
        <v>2099</v>
      </c>
      <c r="F316" s="10" t="s">
        <v>1047</v>
      </c>
      <c r="G316" s="11" t="s">
        <v>1048</v>
      </c>
      <c r="H316" s="10" t="s">
        <v>12</v>
      </c>
      <c r="I316" s="10" t="s">
        <v>2100</v>
      </c>
      <c r="J316" s="10" t="s">
        <v>121</v>
      </c>
    </row>
    <row r="317" ht="22.5" customHeight="1">
      <c r="A317" s="9">
        <v>46227.55104847222</v>
      </c>
      <c r="B317" s="10" t="s">
        <v>2101</v>
      </c>
      <c r="C317" s="10" t="s">
        <v>1049</v>
      </c>
      <c r="D317" s="10" t="s">
        <v>2102</v>
      </c>
      <c r="E317" s="10" t="s">
        <v>1270</v>
      </c>
      <c r="F317" s="10" t="s">
        <v>1050</v>
      </c>
      <c r="G317" s="11" t="s">
        <v>1051</v>
      </c>
      <c r="H317" s="10" t="s">
        <v>23</v>
      </c>
      <c r="I317" s="10" t="s">
        <v>2103</v>
      </c>
      <c r="J317" s="10" t="s">
        <v>121</v>
      </c>
    </row>
    <row r="318" ht="22.5" customHeight="1">
      <c r="A318" s="9">
        <v>46227.56328503472</v>
      </c>
      <c r="B318" s="10" t="s">
        <v>2104</v>
      </c>
      <c r="C318" s="10" t="s">
        <v>1053</v>
      </c>
      <c r="D318" s="10" t="s">
        <v>2092</v>
      </c>
      <c r="E318" s="10" t="s">
        <v>769</v>
      </c>
      <c r="F318" s="10" t="s">
        <v>1054</v>
      </c>
      <c r="G318" s="11" t="s">
        <v>1055</v>
      </c>
      <c r="H318" s="10" t="s">
        <v>8</v>
      </c>
      <c r="I318" s="10" t="s">
        <v>1360</v>
      </c>
      <c r="J318" s="10" t="s">
        <v>121</v>
      </c>
    </row>
    <row r="319" ht="22.5" customHeight="1">
      <c r="A319" s="9">
        <v>46227.57378777778</v>
      </c>
      <c r="B319" s="10" t="s">
        <v>2105</v>
      </c>
      <c r="C319" s="10" t="s">
        <v>1056</v>
      </c>
      <c r="D319" s="10" t="s">
        <v>2106</v>
      </c>
      <c r="E319" s="10" t="s">
        <v>1262</v>
      </c>
      <c r="F319" s="10" t="s">
        <v>1057</v>
      </c>
      <c r="G319" s="11" t="s">
        <v>1058</v>
      </c>
      <c r="H319" s="10" t="s">
        <v>539</v>
      </c>
      <c r="I319" s="10" t="s">
        <v>2107</v>
      </c>
      <c r="J319" s="10" t="s">
        <v>121</v>
      </c>
    </row>
    <row r="320" ht="22.5" customHeight="1">
      <c r="A320" s="9">
        <v>46227.574076053235</v>
      </c>
      <c r="B320" s="10" t="s">
        <v>2108</v>
      </c>
      <c r="C320" s="10" t="s">
        <v>1059</v>
      </c>
      <c r="D320" s="10" t="s">
        <v>2109</v>
      </c>
      <c r="E320" s="10" t="s">
        <v>2110</v>
      </c>
      <c r="F320" s="10" t="s">
        <v>1060</v>
      </c>
      <c r="G320" s="11" t="s">
        <v>1061</v>
      </c>
      <c r="H320" s="10" t="s">
        <v>98</v>
      </c>
      <c r="I320" s="10" t="s">
        <v>2111</v>
      </c>
      <c r="J320" s="10" t="s">
        <v>121</v>
      </c>
    </row>
    <row r="321" ht="22.5" customHeight="1">
      <c r="A321" s="9">
        <v>46227.6013809838</v>
      </c>
      <c r="B321" s="10" t="s">
        <v>2112</v>
      </c>
      <c r="C321" s="10" t="s">
        <v>1062</v>
      </c>
      <c r="D321" s="10">
        <v>51.0</v>
      </c>
      <c r="E321" s="10" t="s">
        <v>1270</v>
      </c>
      <c r="F321" s="10" t="s">
        <v>1063</v>
      </c>
      <c r="G321" s="11" t="s">
        <v>1064</v>
      </c>
      <c r="H321" s="10" t="s">
        <v>12</v>
      </c>
      <c r="I321" s="10" t="s">
        <v>2113</v>
      </c>
      <c r="J321" s="10" t="s">
        <v>121</v>
      </c>
    </row>
    <row r="322" ht="22.5" customHeight="1">
      <c r="A322" s="9">
        <v>46227.608412534726</v>
      </c>
      <c r="B322" s="10" t="s">
        <v>2114</v>
      </c>
      <c r="C322" s="10" t="s">
        <v>1065</v>
      </c>
      <c r="D322" s="10" t="s">
        <v>1662</v>
      </c>
      <c r="E322" s="10" t="s">
        <v>2115</v>
      </c>
      <c r="F322" s="10" t="s">
        <v>1066</v>
      </c>
      <c r="G322" s="11" t="s">
        <v>1067</v>
      </c>
      <c r="H322" s="10" t="s">
        <v>12</v>
      </c>
      <c r="I322" s="10" t="s">
        <v>2116</v>
      </c>
      <c r="J322" s="10" t="s">
        <v>121</v>
      </c>
    </row>
    <row r="323" ht="22.5" customHeight="1">
      <c r="A323" s="9">
        <v>46227.610958460646</v>
      </c>
      <c r="B323" s="10" t="s">
        <v>2117</v>
      </c>
      <c r="C323" s="10" t="s">
        <v>1068</v>
      </c>
      <c r="D323" s="10" t="s">
        <v>2043</v>
      </c>
      <c r="E323" s="10" t="s">
        <v>1318</v>
      </c>
      <c r="F323" s="10" t="s">
        <v>1069</v>
      </c>
      <c r="G323" s="11" t="s">
        <v>1070</v>
      </c>
      <c r="H323" s="10" t="s">
        <v>12</v>
      </c>
      <c r="I323" s="10" t="s">
        <v>1275</v>
      </c>
      <c r="J323" s="10" t="s">
        <v>121</v>
      </c>
    </row>
    <row r="324" ht="22.5" customHeight="1">
      <c r="A324" s="9">
        <v>46227.61931039352</v>
      </c>
      <c r="B324" s="10" t="s">
        <v>2118</v>
      </c>
      <c r="C324" s="10" t="s">
        <v>2119</v>
      </c>
      <c r="D324" s="10" t="s">
        <v>1809</v>
      </c>
      <c r="E324" s="10" t="s">
        <v>374</v>
      </c>
      <c r="F324" s="10" t="s">
        <v>2120</v>
      </c>
      <c r="G324" s="11" t="s">
        <v>2121</v>
      </c>
      <c r="H324" s="10" t="s">
        <v>12</v>
      </c>
      <c r="I324" s="10" t="s">
        <v>2122</v>
      </c>
      <c r="J324" s="10" t="s">
        <v>95</v>
      </c>
    </row>
    <row r="325" ht="22.5" customHeight="1">
      <c r="A325" s="9">
        <v>46227.64503627315</v>
      </c>
      <c r="B325" s="10" t="s">
        <v>2123</v>
      </c>
      <c r="C325" s="10" t="s">
        <v>1071</v>
      </c>
      <c r="D325" s="10" t="s">
        <v>2124</v>
      </c>
      <c r="E325" s="10" t="s">
        <v>2125</v>
      </c>
      <c r="F325" s="10" t="s">
        <v>1072</v>
      </c>
      <c r="G325" s="11" t="s">
        <v>1073</v>
      </c>
      <c r="H325" s="10" t="s">
        <v>12</v>
      </c>
      <c r="I325" s="10" t="s">
        <v>2126</v>
      </c>
      <c r="J325" s="10" t="s">
        <v>121</v>
      </c>
    </row>
    <row r="326" ht="22.5" customHeight="1">
      <c r="A326" s="9">
        <v>46227.64979439815</v>
      </c>
      <c r="B326" s="10" t="s">
        <v>2127</v>
      </c>
      <c r="C326" s="10" t="s">
        <v>1074</v>
      </c>
      <c r="D326" s="10" t="s">
        <v>2128</v>
      </c>
      <c r="E326" s="10" t="s">
        <v>136</v>
      </c>
      <c r="F326" s="10" t="s">
        <v>1075</v>
      </c>
      <c r="G326" s="11" t="s">
        <v>1076</v>
      </c>
      <c r="H326" s="10" t="s">
        <v>12</v>
      </c>
      <c r="I326" s="10" t="s">
        <v>1960</v>
      </c>
      <c r="J326" s="10" t="s">
        <v>121</v>
      </c>
    </row>
    <row r="327" ht="22.5" customHeight="1">
      <c r="A327" s="9">
        <v>46227.66812802083</v>
      </c>
      <c r="B327" s="10" t="s">
        <v>2129</v>
      </c>
      <c r="C327" s="10" t="s">
        <v>1077</v>
      </c>
      <c r="D327" s="10" t="s">
        <v>2130</v>
      </c>
      <c r="E327" s="10" t="s">
        <v>2131</v>
      </c>
      <c r="F327" s="10" t="s">
        <v>1078</v>
      </c>
      <c r="G327" s="11" t="s">
        <v>1079</v>
      </c>
      <c r="H327" s="10" t="s">
        <v>98</v>
      </c>
      <c r="I327" s="10" t="s">
        <v>2132</v>
      </c>
      <c r="J327" s="10" t="s">
        <v>121</v>
      </c>
    </row>
    <row r="328" ht="22.5" customHeight="1">
      <c r="A328" s="9">
        <v>46227.67496157407</v>
      </c>
      <c r="B328" s="10" t="s">
        <v>2133</v>
      </c>
      <c r="C328" s="10" t="s">
        <v>1081</v>
      </c>
      <c r="D328" s="10" t="s">
        <v>1337</v>
      </c>
      <c r="E328" s="10" t="s">
        <v>2134</v>
      </c>
      <c r="F328" s="10" t="s">
        <v>1082</v>
      </c>
      <c r="G328" s="11" t="s">
        <v>1083</v>
      </c>
      <c r="H328" s="10" t="s">
        <v>12</v>
      </c>
      <c r="I328" s="10" t="s">
        <v>2135</v>
      </c>
      <c r="J328" s="10" t="s">
        <v>121</v>
      </c>
    </row>
    <row r="329" ht="22.5" customHeight="1">
      <c r="A329" s="9">
        <v>46227.701745300925</v>
      </c>
      <c r="B329" s="10" t="s">
        <v>2136</v>
      </c>
      <c r="C329" s="10" t="s">
        <v>1084</v>
      </c>
      <c r="D329" s="10" t="s">
        <v>2137</v>
      </c>
      <c r="E329" s="10" t="s">
        <v>111</v>
      </c>
      <c r="F329" s="10" t="s">
        <v>1085</v>
      </c>
      <c r="G329" s="11" t="s">
        <v>1086</v>
      </c>
      <c r="H329" s="10" t="s">
        <v>8</v>
      </c>
      <c r="I329" s="10" t="s">
        <v>2138</v>
      </c>
      <c r="J329" s="10" t="s">
        <v>121</v>
      </c>
    </row>
    <row r="330" ht="22.5" customHeight="1">
      <c r="A330" s="9">
        <v>46227.71806813657</v>
      </c>
      <c r="B330" s="10" t="s">
        <v>2139</v>
      </c>
      <c r="C330" s="10" t="s">
        <v>1088</v>
      </c>
      <c r="D330" s="10" t="s">
        <v>2140</v>
      </c>
      <c r="E330" s="10" t="s">
        <v>2141</v>
      </c>
      <c r="F330" s="10" t="s">
        <v>1089</v>
      </c>
      <c r="G330" s="11" t="s">
        <v>1090</v>
      </c>
      <c r="H330" s="10" t="s">
        <v>23</v>
      </c>
      <c r="I330" s="10" t="s">
        <v>2142</v>
      </c>
      <c r="J330" s="10" t="s">
        <v>121</v>
      </c>
    </row>
    <row r="331" ht="22.5" customHeight="1">
      <c r="A331" s="9">
        <v>46227.75451612269</v>
      </c>
      <c r="B331" s="10" t="s">
        <v>2143</v>
      </c>
      <c r="C331" s="10" t="s">
        <v>1092</v>
      </c>
      <c r="D331" s="10" t="s">
        <v>2144</v>
      </c>
      <c r="E331" s="10" t="s">
        <v>2145</v>
      </c>
      <c r="F331" s="10" t="s">
        <v>1093</v>
      </c>
      <c r="G331" s="11" t="s">
        <v>1094</v>
      </c>
      <c r="H331" s="10" t="s">
        <v>12</v>
      </c>
      <c r="I331" s="10" t="s">
        <v>1439</v>
      </c>
      <c r="J331" s="10" t="s">
        <v>121</v>
      </c>
    </row>
    <row r="332" ht="22.5" customHeight="1">
      <c r="A332" s="9">
        <v>46227.754953958334</v>
      </c>
      <c r="B332" s="10" t="s">
        <v>2146</v>
      </c>
      <c r="C332" s="10" t="s">
        <v>1095</v>
      </c>
      <c r="D332" s="10" t="s">
        <v>2147</v>
      </c>
      <c r="E332" s="10" t="s">
        <v>2148</v>
      </c>
      <c r="F332" s="10" t="s">
        <v>1096</v>
      </c>
      <c r="G332" s="11" t="s">
        <v>1097</v>
      </c>
      <c r="H332" s="10" t="s">
        <v>12</v>
      </c>
      <c r="I332" s="10" t="s">
        <v>2149</v>
      </c>
      <c r="J332" s="10" t="s">
        <v>121</v>
      </c>
    </row>
    <row r="333" ht="22.5" customHeight="1">
      <c r="A333" s="9">
        <v>46227.75765951389</v>
      </c>
      <c r="B333" s="10" t="s">
        <v>2150</v>
      </c>
      <c r="C333" s="10" t="s">
        <v>1098</v>
      </c>
      <c r="D333" s="10">
        <v>49.0</v>
      </c>
      <c r="E333" s="10" t="s">
        <v>2151</v>
      </c>
      <c r="F333" s="10" t="s">
        <v>1099</v>
      </c>
      <c r="G333" s="11" t="s">
        <v>1100</v>
      </c>
      <c r="H333" s="10" t="s">
        <v>242</v>
      </c>
      <c r="I333" s="10" t="s">
        <v>1573</v>
      </c>
      <c r="J333" s="10" t="s">
        <v>121</v>
      </c>
    </row>
    <row r="334" ht="22.5" customHeight="1">
      <c r="A334" s="9">
        <v>46227.765197546294</v>
      </c>
      <c r="B334" s="10" t="s">
        <v>2152</v>
      </c>
      <c r="C334" s="10" t="s">
        <v>1101</v>
      </c>
      <c r="D334" s="10" t="s">
        <v>2153</v>
      </c>
      <c r="E334" s="10" t="s">
        <v>2151</v>
      </c>
      <c r="F334" s="10" t="s">
        <v>1102</v>
      </c>
      <c r="G334" s="11" t="s">
        <v>1103</v>
      </c>
      <c r="H334" s="10" t="s">
        <v>12</v>
      </c>
      <c r="I334" s="10" t="s">
        <v>1573</v>
      </c>
      <c r="J334" s="10" t="s">
        <v>121</v>
      </c>
    </row>
    <row r="335" ht="22.5" customHeight="1">
      <c r="A335" s="9">
        <v>46227.80352267361</v>
      </c>
      <c r="B335" s="10" t="s">
        <v>2154</v>
      </c>
      <c r="C335" s="10" t="s">
        <v>1105</v>
      </c>
      <c r="D335" s="10">
        <v>49.0</v>
      </c>
      <c r="E335" s="10" t="s">
        <v>1746</v>
      </c>
      <c r="F335" s="10" t="s">
        <v>1106</v>
      </c>
      <c r="G335" s="11" t="s">
        <v>1107</v>
      </c>
      <c r="H335" s="10" t="s">
        <v>12</v>
      </c>
      <c r="I335" s="10" t="s">
        <v>2155</v>
      </c>
      <c r="J335" s="10" t="s">
        <v>121</v>
      </c>
    </row>
    <row r="336" ht="22.5" customHeight="1">
      <c r="A336" s="9">
        <v>46227.804428958334</v>
      </c>
      <c r="B336" s="10" t="s">
        <v>2156</v>
      </c>
      <c r="C336" s="10" t="s">
        <v>1108</v>
      </c>
      <c r="D336" s="10" t="s">
        <v>2157</v>
      </c>
      <c r="E336" s="10" t="s">
        <v>2158</v>
      </c>
      <c r="F336" s="10" t="s">
        <v>1109</v>
      </c>
      <c r="G336" s="11" t="s">
        <v>1110</v>
      </c>
      <c r="H336" s="10" t="s">
        <v>23</v>
      </c>
      <c r="I336" s="10" t="s">
        <v>2159</v>
      </c>
      <c r="J336" s="10" t="s">
        <v>121</v>
      </c>
    </row>
    <row r="337" ht="22.5" customHeight="1">
      <c r="A337" s="9">
        <v>46227.81079900463</v>
      </c>
      <c r="B337" s="10" t="s">
        <v>2160</v>
      </c>
      <c r="C337" s="10" t="s">
        <v>1111</v>
      </c>
      <c r="D337" s="10" t="s">
        <v>2161</v>
      </c>
      <c r="E337" s="10" t="s">
        <v>374</v>
      </c>
      <c r="F337" s="10" t="s">
        <v>1112</v>
      </c>
      <c r="G337" s="11" t="s">
        <v>1114</v>
      </c>
      <c r="H337" s="10" t="s">
        <v>23</v>
      </c>
      <c r="I337" s="10" t="s">
        <v>2162</v>
      </c>
      <c r="J337" s="10" t="s">
        <v>121</v>
      </c>
    </row>
    <row r="338" ht="22.5" customHeight="1">
      <c r="A338" s="9">
        <v>46227.84433065972</v>
      </c>
      <c r="B338" s="10" t="s">
        <v>2163</v>
      </c>
      <c r="C338" s="10" t="s">
        <v>1115</v>
      </c>
      <c r="D338" s="10" t="s">
        <v>1617</v>
      </c>
      <c r="E338" s="10" t="s">
        <v>2164</v>
      </c>
      <c r="F338" s="10" t="s">
        <v>1116</v>
      </c>
      <c r="G338" s="11" t="s">
        <v>1117</v>
      </c>
      <c r="H338" s="10" t="s">
        <v>8</v>
      </c>
      <c r="I338" s="10" t="s">
        <v>2165</v>
      </c>
      <c r="J338" s="10" t="s">
        <v>121</v>
      </c>
    </row>
    <row r="339" ht="22.5" customHeight="1">
      <c r="A339" s="9">
        <v>46227.85132556713</v>
      </c>
      <c r="B339" s="10" t="s">
        <v>2166</v>
      </c>
      <c r="C339" s="10" t="s">
        <v>1119</v>
      </c>
      <c r="D339" s="10" t="s">
        <v>2167</v>
      </c>
      <c r="E339" s="10" t="s">
        <v>374</v>
      </c>
      <c r="F339" s="10" t="s">
        <v>1120</v>
      </c>
      <c r="G339" s="11" t="s">
        <v>1121</v>
      </c>
      <c r="H339" s="10" t="s">
        <v>98</v>
      </c>
      <c r="I339" s="10" t="s">
        <v>2168</v>
      </c>
      <c r="J339" s="10" t="s">
        <v>121</v>
      </c>
    </row>
    <row r="340" ht="22.5" customHeight="1">
      <c r="A340" s="9">
        <v>46227.86264910879</v>
      </c>
      <c r="B340" s="10" t="s">
        <v>2169</v>
      </c>
      <c r="C340" s="10" t="s">
        <v>1123</v>
      </c>
      <c r="D340" s="10" t="s">
        <v>2170</v>
      </c>
      <c r="E340" s="10" t="s">
        <v>806</v>
      </c>
      <c r="F340" s="10" t="s">
        <v>1124</v>
      </c>
      <c r="G340" s="11" t="s">
        <v>1125</v>
      </c>
      <c r="H340" s="10" t="s">
        <v>8</v>
      </c>
      <c r="I340" s="10" t="s">
        <v>8</v>
      </c>
      <c r="J340" s="10" t="s">
        <v>121</v>
      </c>
    </row>
    <row r="341" ht="22.5" customHeight="1">
      <c r="A341" s="9">
        <v>46227.87907190972</v>
      </c>
      <c r="B341" s="10" t="s">
        <v>1512</v>
      </c>
      <c r="C341" s="10" t="s">
        <v>1126</v>
      </c>
      <c r="D341" s="10" t="s">
        <v>2171</v>
      </c>
      <c r="E341" s="10" t="s">
        <v>2172</v>
      </c>
      <c r="F341" s="10" t="s">
        <v>1127</v>
      </c>
      <c r="G341" s="11" t="s">
        <v>1128</v>
      </c>
      <c r="H341" s="10" t="s">
        <v>23</v>
      </c>
      <c r="I341" s="10" t="s">
        <v>1634</v>
      </c>
      <c r="J341" s="10" t="s">
        <v>121</v>
      </c>
    </row>
    <row r="342" ht="22.5" customHeight="1">
      <c r="A342" s="9">
        <v>46227.879100474536</v>
      </c>
      <c r="B342" s="10" t="s">
        <v>2173</v>
      </c>
      <c r="C342" s="10" t="s">
        <v>1129</v>
      </c>
      <c r="D342" s="10" t="s">
        <v>2174</v>
      </c>
      <c r="E342" s="10" t="s">
        <v>2175</v>
      </c>
      <c r="F342" s="10" t="s">
        <v>1130</v>
      </c>
      <c r="G342" s="11" t="s">
        <v>1131</v>
      </c>
      <c r="H342" s="10" t="s">
        <v>1132</v>
      </c>
      <c r="I342" s="10" t="s">
        <v>2176</v>
      </c>
      <c r="J342" s="10" t="s">
        <v>121</v>
      </c>
    </row>
    <row r="343" ht="22.5" customHeight="1">
      <c r="A343" s="9">
        <v>46227.89094570602</v>
      </c>
      <c r="B343" s="10" t="s">
        <v>2177</v>
      </c>
      <c r="C343" s="10" t="s">
        <v>1133</v>
      </c>
      <c r="D343" s="10" t="s">
        <v>2178</v>
      </c>
      <c r="E343" s="10" t="s">
        <v>806</v>
      </c>
      <c r="F343" s="10" t="s">
        <v>1135</v>
      </c>
      <c r="G343" s="11" t="s">
        <v>1136</v>
      </c>
      <c r="H343" s="10" t="s">
        <v>8</v>
      </c>
      <c r="I343" s="10" t="s">
        <v>2179</v>
      </c>
      <c r="J343" s="10" t="s">
        <v>121</v>
      </c>
    </row>
    <row r="344" ht="22.5" customHeight="1">
      <c r="A344" s="9">
        <v>46227.89205846065</v>
      </c>
      <c r="B344" s="10" t="s">
        <v>2180</v>
      </c>
      <c r="C344" s="10" t="s">
        <v>1137</v>
      </c>
      <c r="D344" s="10" t="s">
        <v>1662</v>
      </c>
      <c r="E344" s="10" t="s">
        <v>2181</v>
      </c>
      <c r="F344" s="10" t="s">
        <v>1138</v>
      </c>
      <c r="G344" s="11" t="s">
        <v>1139</v>
      </c>
      <c r="H344" s="10" t="s">
        <v>23</v>
      </c>
      <c r="I344" s="10" t="s">
        <v>2182</v>
      </c>
      <c r="J344" s="10" t="s">
        <v>121</v>
      </c>
    </row>
    <row r="345" ht="22.5" customHeight="1">
      <c r="A345" s="9">
        <v>46227.89213577546</v>
      </c>
      <c r="B345" s="10" t="s">
        <v>2183</v>
      </c>
      <c r="C345" s="10" t="s">
        <v>456</v>
      </c>
      <c r="D345" s="10" t="s">
        <v>2184</v>
      </c>
      <c r="E345" s="10" t="s">
        <v>2018</v>
      </c>
      <c r="F345" s="10" t="s">
        <v>1141</v>
      </c>
      <c r="G345" s="10">
        <v>1.775706988E9</v>
      </c>
      <c r="H345" s="10" t="s">
        <v>23</v>
      </c>
      <c r="I345" s="10" t="s">
        <v>2185</v>
      </c>
      <c r="J345" s="10" t="s">
        <v>121</v>
      </c>
    </row>
    <row r="346" ht="22.5" customHeight="1">
      <c r="A346" s="9">
        <v>46227.895248182875</v>
      </c>
      <c r="B346" s="10">
        <v>6.769302869E9</v>
      </c>
      <c r="C346" s="10" t="s">
        <v>1143</v>
      </c>
      <c r="D346" s="10">
        <v>49.0</v>
      </c>
      <c r="E346" s="10" t="s">
        <v>374</v>
      </c>
      <c r="F346" s="10" t="s">
        <v>1144</v>
      </c>
      <c r="G346" s="11" t="s">
        <v>1145</v>
      </c>
      <c r="H346" s="10" t="s">
        <v>8</v>
      </c>
      <c r="I346" s="10" t="s">
        <v>2186</v>
      </c>
      <c r="J346" s="10" t="s">
        <v>121</v>
      </c>
    </row>
    <row r="347" ht="22.5" customHeight="1">
      <c r="A347" s="9">
        <v>46227.89942366898</v>
      </c>
      <c r="B347" s="10" t="s">
        <v>2187</v>
      </c>
      <c r="C347" s="10" t="s">
        <v>1147</v>
      </c>
      <c r="D347" s="10" t="s">
        <v>1662</v>
      </c>
      <c r="E347" s="10" t="s">
        <v>2188</v>
      </c>
      <c r="F347" s="10" t="s">
        <v>1148</v>
      </c>
      <c r="G347" s="11" t="s">
        <v>1149</v>
      </c>
      <c r="H347" s="10" t="s">
        <v>98</v>
      </c>
      <c r="I347" s="10" t="s">
        <v>2189</v>
      </c>
      <c r="J347" s="10" t="s">
        <v>121</v>
      </c>
    </row>
    <row r="348" ht="22.5" customHeight="1">
      <c r="A348" s="9">
        <v>46227.90490148148</v>
      </c>
      <c r="B348" s="10" t="s">
        <v>2190</v>
      </c>
      <c r="C348" s="10" t="s">
        <v>1151</v>
      </c>
      <c r="D348" s="10" t="s">
        <v>2191</v>
      </c>
      <c r="E348" s="10" t="s">
        <v>1503</v>
      </c>
      <c r="F348" s="10" t="s">
        <v>1152</v>
      </c>
      <c r="G348" s="11" t="s">
        <v>1153</v>
      </c>
      <c r="H348" s="10" t="s">
        <v>98</v>
      </c>
      <c r="I348" s="10" t="s">
        <v>2113</v>
      </c>
      <c r="J348" s="10" t="s">
        <v>121</v>
      </c>
    </row>
    <row r="349" ht="22.5" customHeight="1">
      <c r="A349" s="9">
        <v>46227.91065888889</v>
      </c>
      <c r="B349" s="10" t="s">
        <v>2192</v>
      </c>
      <c r="C349" s="10" t="s">
        <v>1154</v>
      </c>
      <c r="D349" s="10" t="s">
        <v>2193</v>
      </c>
      <c r="E349" s="10" t="s">
        <v>2194</v>
      </c>
      <c r="F349" s="10" t="s">
        <v>1155</v>
      </c>
      <c r="G349" s="11" t="s">
        <v>1156</v>
      </c>
      <c r="H349" s="10" t="s">
        <v>12</v>
      </c>
      <c r="I349" s="10" t="s">
        <v>2195</v>
      </c>
      <c r="J349" s="10" t="s">
        <v>121</v>
      </c>
    </row>
    <row r="350" ht="22.5" customHeight="1">
      <c r="A350" s="9">
        <v>46227.91169298611</v>
      </c>
      <c r="B350" s="10" t="s">
        <v>2196</v>
      </c>
      <c r="C350" s="10" t="s">
        <v>1157</v>
      </c>
      <c r="D350" s="10" t="s">
        <v>2197</v>
      </c>
      <c r="E350" s="10" t="s">
        <v>500</v>
      </c>
      <c r="F350" s="10" t="s">
        <v>1158</v>
      </c>
      <c r="G350" s="11" t="s">
        <v>1159</v>
      </c>
      <c r="H350" s="10" t="s">
        <v>1160</v>
      </c>
      <c r="I350" s="10" t="s">
        <v>330</v>
      </c>
      <c r="J350" s="10" t="s">
        <v>121</v>
      </c>
    </row>
    <row r="351" ht="22.5" customHeight="1">
      <c r="A351" s="9">
        <v>46227.91198107639</v>
      </c>
      <c r="B351" s="10" t="s">
        <v>2198</v>
      </c>
      <c r="C351" s="10" t="s">
        <v>1161</v>
      </c>
      <c r="D351" s="10" t="s">
        <v>2199</v>
      </c>
      <c r="E351" s="10" t="s">
        <v>806</v>
      </c>
      <c r="F351" s="10" t="s">
        <v>1162</v>
      </c>
      <c r="G351" s="11" t="s">
        <v>1163</v>
      </c>
      <c r="H351" s="10" t="s">
        <v>12</v>
      </c>
      <c r="I351" s="10" t="s">
        <v>625</v>
      </c>
      <c r="J351" s="10" t="s">
        <v>121</v>
      </c>
    </row>
    <row r="352" ht="22.5" customHeight="1">
      <c r="A352" s="9">
        <v>46227.91250878472</v>
      </c>
      <c r="B352" s="10" t="s">
        <v>2200</v>
      </c>
      <c r="C352" s="10" t="s">
        <v>1164</v>
      </c>
      <c r="D352" s="10" t="s">
        <v>1291</v>
      </c>
      <c r="E352" s="10" t="s">
        <v>2201</v>
      </c>
      <c r="F352" s="10" t="s">
        <v>1165</v>
      </c>
      <c r="G352" s="11" t="s">
        <v>1166</v>
      </c>
      <c r="H352" s="10" t="s">
        <v>12</v>
      </c>
      <c r="I352" s="10" t="s">
        <v>1512</v>
      </c>
      <c r="J352" s="10" t="s">
        <v>121</v>
      </c>
    </row>
    <row r="353" ht="22.5" customHeight="1">
      <c r="A353" s="9">
        <v>46227.915244351854</v>
      </c>
      <c r="B353" s="10" t="s">
        <v>2202</v>
      </c>
      <c r="C353" s="10" t="s">
        <v>1168</v>
      </c>
      <c r="D353" s="10">
        <v>51.0</v>
      </c>
      <c r="E353" s="10" t="s">
        <v>2203</v>
      </c>
      <c r="F353" s="10" t="s">
        <v>1169</v>
      </c>
      <c r="G353" s="11" t="s">
        <v>1170</v>
      </c>
      <c r="H353" s="10" t="s">
        <v>8</v>
      </c>
      <c r="I353" s="10" t="s">
        <v>990</v>
      </c>
      <c r="J353" s="10" t="s">
        <v>121</v>
      </c>
    </row>
    <row r="354" ht="22.5" customHeight="1">
      <c r="A354" s="9">
        <v>46227.91537340278</v>
      </c>
      <c r="B354" s="10" t="s">
        <v>2204</v>
      </c>
      <c r="C354" s="10" t="s">
        <v>1171</v>
      </c>
      <c r="D354" s="10" t="s">
        <v>1700</v>
      </c>
      <c r="E354" s="10" t="s">
        <v>2194</v>
      </c>
      <c r="F354" s="10" t="s">
        <v>1172</v>
      </c>
      <c r="G354" s="10" t="s">
        <v>1173</v>
      </c>
      <c r="H354" s="10" t="s">
        <v>23</v>
      </c>
      <c r="I354" s="10" t="s">
        <v>1939</v>
      </c>
      <c r="J354" s="10" t="s">
        <v>121</v>
      </c>
    </row>
    <row r="355" ht="22.5" customHeight="1">
      <c r="A355" s="9">
        <v>46227.916211909724</v>
      </c>
      <c r="B355" s="10" t="s">
        <v>2205</v>
      </c>
      <c r="C355" s="10" t="s">
        <v>1174</v>
      </c>
      <c r="D355" s="10" t="s">
        <v>1470</v>
      </c>
      <c r="E355" s="10" t="s">
        <v>1270</v>
      </c>
      <c r="F355" s="10" t="s">
        <v>1175</v>
      </c>
      <c r="G355" s="11" t="s">
        <v>1176</v>
      </c>
      <c r="H355" s="10" t="s">
        <v>23</v>
      </c>
      <c r="I355" s="10" t="s">
        <v>2206</v>
      </c>
      <c r="J355" s="10" t="s">
        <v>121</v>
      </c>
    </row>
    <row r="356" ht="22.5" customHeight="1">
      <c r="A356" s="9">
        <v>46227.91766395833</v>
      </c>
      <c r="B356" s="10" t="s">
        <v>2207</v>
      </c>
      <c r="C356" s="10" t="s">
        <v>1177</v>
      </c>
      <c r="D356" s="10" t="s">
        <v>296</v>
      </c>
      <c r="E356" s="10" t="s">
        <v>1605</v>
      </c>
      <c r="F356" s="10" t="s">
        <v>1178</v>
      </c>
      <c r="G356" s="11" t="s">
        <v>1179</v>
      </c>
      <c r="H356" s="10" t="s">
        <v>23</v>
      </c>
      <c r="I356" s="10" t="s">
        <v>2208</v>
      </c>
      <c r="J356" s="10" t="s">
        <v>121</v>
      </c>
    </row>
    <row r="357" ht="22.5" customHeight="1">
      <c r="A357" s="9">
        <v>46227.918659166666</v>
      </c>
      <c r="B357" s="10" t="s">
        <v>2209</v>
      </c>
      <c r="C357" s="10" t="s">
        <v>1181</v>
      </c>
      <c r="D357" s="10" t="s">
        <v>945</v>
      </c>
      <c r="E357" s="10" t="s">
        <v>2210</v>
      </c>
      <c r="F357" s="10" t="s">
        <v>1182</v>
      </c>
      <c r="G357" s="11" t="s">
        <v>1183</v>
      </c>
      <c r="H357" s="10" t="s">
        <v>12</v>
      </c>
      <c r="I357" s="10" t="s">
        <v>1919</v>
      </c>
      <c r="J357" s="10" t="s">
        <v>121</v>
      </c>
    </row>
    <row r="358" ht="22.5" customHeight="1">
      <c r="A358" s="9">
        <v>46227.9236659375</v>
      </c>
      <c r="B358" s="10" t="s">
        <v>2211</v>
      </c>
      <c r="C358" s="10" t="s">
        <v>1184</v>
      </c>
      <c r="D358" s="10" t="s">
        <v>2212</v>
      </c>
      <c r="E358" s="10" t="s">
        <v>2213</v>
      </c>
      <c r="F358" s="10" t="s">
        <v>1185</v>
      </c>
      <c r="G358" s="11" t="s">
        <v>1186</v>
      </c>
      <c r="H358" s="10" t="s">
        <v>12</v>
      </c>
      <c r="I358" s="10" t="s">
        <v>1468</v>
      </c>
      <c r="J358" s="10" t="s">
        <v>121</v>
      </c>
    </row>
    <row r="359" ht="22.5" customHeight="1">
      <c r="A359" s="9">
        <v>46227.93354167824</v>
      </c>
      <c r="B359" s="10" t="s">
        <v>2214</v>
      </c>
      <c r="C359" s="10" t="s">
        <v>1187</v>
      </c>
      <c r="D359" s="10" t="s">
        <v>2215</v>
      </c>
      <c r="E359" s="10" t="s">
        <v>2216</v>
      </c>
      <c r="F359" s="10" t="s">
        <v>1188</v>
      </c>
      <c r="G359" s="11" t="s">
        <v>1190</v>
      </c>
      <c r="H359" s="10" t="s">
        <v>23</v>
      </c>
      <c r="I359" s="10" t="s">
        <v>2217</v>
      </c>
      <c r="J359" s="10" t="s">
        <v>121</v>
      </c>
    </row>
    <row r="360" ht="22.5" customHeight="1">
      <c r="A360" s="9">
        <v>46227.94811195602</v>
      </c>
      <c r="B360" s="10" t="s">
        <v>2218</v>
      </c>
      <c r="C360" s="10" t="s">
        <v>1191</v>
      </c>
      <c r="D360" s="10" t="s">
        <v>2219</v>
      </c>
      <c r="E360" s="10" t="s">
        <v>1418</v>
      </c>
      <c r="F360" s="10" t="s">
        <v>1192</v>
      </c>
      <c r="G360" s="11" t="s">
        <v>1193</v>
      </c>
      <c r="H360" s="10" t="s">
        <v>23</v>
      </c>
      <c r="I360" s="10" t="s">
        <v>2220</v>
      </c>
      <c r="J360" s="10" t="s">
        <v>121</v>
      </c>
    </row>
    <row r="361" ht="22.5" customHeight="1">
      <c r="A361" s="9">
        <v>46227.95383024306</v>
      </c>
      <c r="B361" s="10" t="s">
        <v>2221</v>
      </c>
      <c r="C361" s="10" t="s">
        <v>1195</v>
      </c>
      <c r="D361" s="10" t="s">
        <v>2222</v>
      </c>
      <c r="E361" s="10" t="s">
        <v>2223</v>
      </c>
      <c r="F361" s="10" t="s">
        <v>1196</v>
      </c>
      <c r="G361" s="11" t="s">
        <v>1197</v>
      </c>
      <c r="H361" s="10" t="s">
        <v>12</v>
      </c>
      <c r="I361" s="10" t="s">
        <v>2224</v>
      </c>
      <c r="J361" s="10" t="s">
        <v>121</v>
      </c>
    </row>
    <row r="362" ht="22.5" customHeight="1">
      <c r="A362" s="9">
        <v>46227.95457909722</v>
      </c>
      <c r="B362" s="10" t="s">
        <v>2225</v>
      </c>
      <c r="C362" s="10" t="s">
        <v>1198</v>
      </c>
      <c r="D362" s="10" t="s">
        <v>2226</v>
      </c>
      <c r="E362" s="10" t="s">
        <v>2227</v>
      </c>
      <c r="F362" s="10" t="s">
        <v>1199</v>
      </c>
      <c r="G362" s="11" t="s">
        <v>1200</v>
      </c>
      <c r="H362" s="10" t="s">
        <v>12</v>
      </c>
      <c r="I362" s="10" t="s">
        <v>1651</v>
      </c>
      <c r="J362" s="10" t="s">
        <v>121</v>
      </c>
    </row>
    <row r="363" ht="22.5" customHeight="1">
      <c r="A363" s="9">
        <v>46227.95679769676</v>
      </c>
      <c r="B363" s="10" t="s">
        <v>2228</v>
      </c>
      <c r="C363" s="10" t="s">
        <v>1201</v>
      </c>
      <c r="D363" s="10" t="s">
        <v>1817</v>
      </c>
      <c r="E363" s="10" t="s">
        <v>2229</v>
      </c>
      <c r="F363" s="10" t="s">
        <v>1202</v>
      </c>
      <c r="G363" s="11" t="s">
        <v>1203</v>
      </c>
      <c r="H363" s="10" t="s">
        <v>23</v>
      </c>
      <c r="I363" s="10" t="s">
        <v>358</v>
      </c>
      <c r="J363" s="10" t="s">
        <v>121</v>
      </c>
    </row>
    <row r="364" ht="22.5" customHeight="1">
      <c r="A364" s="9">
        <v>46227.95838909722</v>
      </c>
      <c r="B364" s="10" t="s">
        <v>2230</v>
      </c>
      <c r="C364" s="10" t="s">
        <v>1204</v>
      </c>
      <c r="D364" s="10" t="s">
        <v>2231</v>
      </c>
      <c r="E364" s="10" t="s">
        <v>1414</v>
      </c>
      <c r="F364" s="10" t="s">
        <v>1205</v>
      </c>
      <c r="G364" s="11" t="s">
        <v>1206</v>
      </c>
      <c r="H364" s="10" t="s">
        <v>23</v>
      </c>
      <c r="I364" s="10" t="s">
        <v>1415</v>
      </c>
      <c r="J364" s="10" t="s">
        <v>121</v>
      </c>
    </row>
    <row r="365" ht="22.5" customHeight="1">
      <c r="A365" s="9">
        <v>46227.96262449074</v>
      </c>
      <c r="B365" s="10" t="s">
        <v>2232</v>
      </c>
      <c r="C365" s="10" t="s">
        <v>1208</v>
      </c>
      <c r="D365" s="10" t="s">
        <v>1344</v>
      </c>
      <c r="E365" s="10" t="s">
        <v>2233</v>
      </c>
      <c r="F365" s="10" t="s">
        <v>1209</v>
      </c>
      <c r="G365" s="11" t="s">
        <v>1210</v>
      </c>
      <c r="H365" s="10" t="s">
        <v>12</v>
      </c>
      <c r="I365" s="10" t="s">
        <v>2234</v>
      </c>
      <c r="J365" s="10" t="s">
        <v>121</v>
      </c>
    </row>
    <row r="366" ht="22.5" customHeight="1">
      <c r="A366" s="9">
        <v>46227.994053055554</v>
      </c>
      <c r="B366" s="10" t="s">
        <v>2235</v>
      </c>
      <c r="C366" s="10" t="s">
        <v>1211</v>
      </c>
      <c r="D366" s="10">
        <v>52.0</v>
      </c>
      <c r="E366" s="10" t="s">
        <v>111</v>
      </c>
      <c r="F366" s="10" t="s">
        <v>1212</v>
      </c>
      <c r="G366" s="11" t="s">
        <v>1213</v>
      </c>
      <c r="H366" s="10" t="s">
        <v>335</v>
      </c>
      <c r="I366" s="10" t="s">
        <v>2236</v>
      </c>
      <c r="J366" s="10" t="s">
        <v>121</v>
      </c>
    </row>
    <row r="367" ht="22.5" customHeight="1">
      <c r="A367" s="9">
        <v>46227.99919916667</v>
      </c>
      <c r="B367" s="10" t="s">
        <v>2237</v>
      </c>
      <c r="C367" s="10" t="s">
        <v>1214</v>
      </c>
      <c r="D367" s="10" t="s">
        <v>2238</v>
      </c>
      <c r="E367" s="10" t="s">
        <v>2239</v>
      </c>
      <c r="F367" s="10" t="s">
        <v>1216</v>
      </c>
      <c r="G367" s="11" t="s">
        <v>1217</v>
      </c>
      <c r="H367" s="10" t="s">
        <v>242</v>
      </c>
      <c r="I367" s="10" t="s">
        <v>1360</v>
      </c>
      <c r="J367" s="10" t="s">
        <v>121</v>
      </c>
    </row>
    <row r="368" ht="22.5" customHeight="1">
      <c r="A368" s="9">
        <v>46228.00265797453</v>
      </c>
      <c r="B368" s="10" t="s">
        <v>2240</v>
      </c>
      <c r="C368" s="10" t="s">
        <v>1218</v>
      </c>
      <c r="D368" s="10" t="s">
        <v>1499</v>
      </c>
      <c r="E368" s="10" t="s">
        <v>111</v>
      </c>
      <c r="F368" s="10" t="s">
        <v>1219</v>
      </c>
      <c r="G368" s="11" t="s">
        <v>1220</v>
      </c>
      <c r="H368" s="10" t="s">
        <v>23</v>
      </c>
      <c r="I368" s="10" t="s">
        <v>2241</v>
      </c>
      <c r="J368" s="10" t="s">
        <v>121</v>
      </c>
    </row>
    <row r="369" ht="22.5" customHeight="1">
      <c r="A369" s="9">
        <v>46228.003321400465</v>
      </c>
      <c r="B369" s="11" t="s">
        <v>2242</v>
      </c>
      <c r="C369" s="10" t="s">
        <v>2243</v>
      </c>
      <c r="D369" s="10" t="s">
        <v>1916</v>
      </c>
      <c r="E369" s="10" t="s">
        <v>2244</v>
      </c>
      <c r="F369" s="10" t="s">
        <v>2245</v>
      </c>
      <c r="G369" s="11" t="s">
        <v>2242</v>
      </c>
      <c r="H369" s="10" t="s">
        <v>2246</v>
      </c>
      <c r="I369" s="10" t="s">
        <v>2247</v>
      </c>
      <c r="J369" s="10" t="s">
        <v>95</v>
      </c>
    </row>
    <row r="370" ht="22.5" customHeight="1">
      <c r="A370" s="9">
        <v>46228.01903829861</v>
      </c>
      <c r="B370" s="10" t="s">
        <v>2248</v>
      </c>
      <c r="C370" s="10" t="s">
        <v>1223</v>
      </c>
      <c r="D370" s="10" t="s">
        <v>2249</v>
      </c>
      <c r="E370" s="10" t="s">
        <v>2250</v>
      </c>
      <c r="F370" s="10" t="s">
        <v>1224</v>
      </c>
      <c r="G370" s="11" t="s">
        <v>1225</v>
      </c>
      <c r="H370" s="10" t="s">
        <v>23</v>
      </c>
      <c r="I370" s="10" t="s">
        <v>2251</v>
      </c>
      <c r="J370" s="10" t="s">
        <v>121</v>
      </c>
    </row>
    <row r="371" ht="22.5" customHeight="1">
      <c r="A371" s="9">
        <v>46228.02346109954</v>
      </c>
      <c r="B371" s="10" t="s">
        <v>2252</v>
      </c>
      <c r="C371" s="10" t="s">
        <v>1226</v>
      </c>
      <c r="D371" s="10" t="s">
        <v>2253</v>
      </c>
      <c r="E371" s="10" t="s">
        <v>2250</v>
      </c>
      <c r="F371" s="10" t="s">
        <v>1227</v>
      </c>
      <c r="G371" s="11" t="s">
        <v>1228</v>
      </c>
      <c r="H371" s="10" t="s">
        <v>8</v>
      </c>
      <c r="I371" s="10" t="s">
        <v>1338</v>
      </c>
      <c r="J371" s="10" t="s">
        <v>121</v>
      </c>
    </row>
    <row r="372" ht="22.5" customHeight="1">
      <c r="A372" s="9">
        <v>46228.02442260417</v>
      </c>
      <c r="B372" s="10" t="s">
        <v>2254</v>
      </c>
      <c r="C372" s="10" t="s">
        <v>1229</v>
      </c>
      <c r="D372" s="10" t="s">
        <v>2255</v>
      </c>
      <c r="E372" s="10" t="s">
        <v>2256</v>
      </c>
      <c r="F372" s="10" t="s">
        <v>1230</v>
      </c>
      <c r="G372" s="11" t="s">
        <v>1231</v>
      </c>
      <c r="H372" s="10" t="s">
        <v>98</v>
      </c>
      <c r="I372" s="10" t="s">
        <v>1360</v>
      </c>
      <c r="J372" s="10" t="s">
        <v>121</v>
      </c>
    </row>
    <row r="373" ht="22.5" customHeight="1">
      <c r="A373" s="9">
        <v>46228.95933560185</v>
      </c>
      <c r="B373" s="10" t="s">
        <v>2257</v>
      </c>
      <c r="C373" s="10" t="s">
        <v>1232</v>
      </c>
      <c r="D373" s="10" t="s">
        <v>2258</v>
      </c>
      <c r="E373" s="10" t="s">
        <v>1769</v>
      </c>
      <c r="F373" s="10" t="s">
        <v>1233</v>
      </c>
      <c r="G373" s="11" t="s">
        <v>1234</v>
      </c>
      <c r="H373" s="10" t="s">
        <v>1235</v>
      </c>
      <c r="I373" s="10" t="s">
        <v>1275</v>
      </c>
      <c r="J373" s="10" t="s">
        <v>121</v>
      </c>
    </row>
    <row r="374" ht="22.5" customHeight="1">
      <c r="A374" s="9">
        <v>46229.1488390625</v>
      </c>
      <c r="B374" s="10" t="s">
        <v>2259</v>
      </c>
      <c r="C374" s="10" t="s">
        <v>1237</v>
      </c>
      <c r="D374" s="10" t="s">
        <v>1998</v>
      </c>
      <c r="E374" s="10" t="s">
        <v>2260</v>
      </c>
      <c r="F374" s="10" t="s">
        <v>1238</v>
      </c>
      <c r="G374" s="11" t="s">
        <v>1239</v>
      </c>
      <c r="H374" s="10" t="s">
        <v>23</v>
      </c>
      <c r="I374" s="10" t="s">
        <v>2261</v>
      </c>
      <c r="J374" s="10" t="s">
        <v>121</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8.25"/>
    <col customWidth="1" min="2" max="2" width="26.5"/>
    <col customWidth="1" min="3" max="3" width="28.88"/>
    <col customWidth="1" min="4" max="4" width="14.88"/>
    <col customWidth="1" min="5" max="5" width="18.75"/>
  </cols>
  <sheetData>
    <row r="1">
      <c r="A1" s="3" t="str">
        <f>IFERROR(__xludf.DUMMYFUNCTION("QUERY('Form responses 1'!A:J, ""SELECT B, C, F, G, H WHERE J = 'YES' LABEL B 'ট্রানঞ্জেকশন আইডি', C 'Name', F 'Email', G 'Phone Number', H 'Size'"", 1)"),"ট্রানঞ্জেকশন আইডি")</f>
        <v>ট্রানঞ্জেকশন আইডি</v>
      </c>
      <c r="B1" s="3" t="str">
        <f>IFERROR(__xludf.DUMMYFUNCTION("""COMPUTED_VALUE"""),"Name")</f>
        <v>Name</v>
      </c>
      <c r="C1" s="3" t="str">
        <f>IFERROR(__xludf.DUMMYFUNCTION("""COMPUTED_VALUE"""),"Email")</f>
        <v>Email</v>
      </c>
      <c r="D1" s="3" t="str">
        <f>IFERROR(__xludf.DUMMYFUNCTION("""COMPUTED_VALUE"""),"Phone Number")</f>
        <v>Phone Number</v>
      </c>
      <c r="E1" s="3" t="str">
        <f>IFERROR(__xludf.DUMMYFUNCTION("""COMPUTED_VALUE"""),"Size")</f>
        <v>Size</v>
      </c>
      <c r="F1" s="2" t="s">
        <v>4</v>
      </c>
    </row>
    <row r="2">
      <c r="A2" s="3" t="str">
        <f>IFERROR(__xludf.DUMMYFUNCTION("""COMPUTED_VALUE"""),"DGI0H5BKSE")</f>
        <v>DGI0H5BKSE</v>
      </c>
      <c r="B2" s="3" t="str">
        <f>IFERROR(__xludf.DUMMYFUNCTION("""COMPUTED_VALUE"""),"Rajinur Piyal ")</f>
        <v>Rajinur Piyal </v>
      </c>
      <c r="C2" s="3" t="str">
        <f>IFERROR(__xludf.DUMMYFUNCTION("""COMPUTED_VALUE"""),"rajinurislam333@gmail.com")</f>
        <v>rajinurislam333@gmail.com</v>
      </c>
      <c r="D2" s="3" t="str">
        <f>IFERROR(__xludf.DUMMYFUNCTION("""COMPUTED_VALUE"""),"01785386704")</f>
        <v>01785386704</v>
      </c>
      <c r="E2" s="3" t="str">
        <f>IFERROR(__xludf.DUMMYFUNCTION("""COMPUTED_VALUE"""),"M")</f>
        <v>M</v>
      </c>
      <c r="F2" s="3">
        <f t="array" ref="F2:F1000">IF(A2:A1000&lt;&gt;"", ROW(A2:A1000)+499, "")</f>
        <v>501</v>
      </c>
    </row>
    <row r="3">
      <c r="A3" s="3" t="str">
        <f>IFERROR(__xludf.DUMMYFUNCTION("""COMPUTED_VALUE"""),"ভুলে প্রথমে ৩০০৳ দিয়ে ফেলি DGI8H5CIGA পরে ৫০৳ দিয়েছি DGI2H5CETA ")</f>
        <v>ভুলে প্রথমে ৩০০৳ দিয়ে ফেলি DGI8H5CIGA পরে ৫০৳ দিয়েছি DGI2H5CETA </v>
      </c>
      <c r="B3" s="3" t="str">
        <f>IFERROR(__xludf.DUMMYFUNCTION("""COMPUTED_VALUE"""),"Gulzar Islam Mahir")</f>
        <v>Gulzar Islam Mahir</v>
      </c>
      <c r="C3" s="3" t="str">
        <f>IFERROR(__xludf.DUMMYFUNCTION("""COMPUTED_VALUE"""),"gimahir25@gmail.com")</f>
        <v>gimahir25@gmail.com</v>
      </c>
      <c r="D3" s="3" t="str">
        <f>IFERROR(__xludf.DUMMYFUNCTION("""COMPUTED_VALUE"""),"01768173364")</f>
        <v>01768173364</v>
      </c>
      <c r="E3" s="3" t="str">
        <f>IFERROR(__xludf.DUMMYFUNCTION("""COMPUTED_VALUE"""),"L")</f>
        <v>L</v>
      </c>
      <c r="F3" s="3">
        <v>502.0</v>
      </c>
    </row>
    <row r="4">
      <c r="A4" s="3" t="str">
        <f>IFERROR(__xludf.DUMMYFUNCTION("""COMPUTED_VALUE"""),"DGI5H5FSRN")</f>
        <v>DGI5H5FSRN</v>
      </c>
      <c r="B4" s="3" t="str">
        <f>IFERROR(__xludf.DUMMYFUNCTION("""COMPUTED_VALUE"""),"Abir Hasan Anik ")</f>
        <v>Abir Hasan Anik </v>
      </c>
      <c r="C4" s="3" t="str">
        <f>IFERROR(__xludf.DUMMYFUNCTION("""COMPUTED_VALUE"""),"abir134017@gmail.com")</f>
        <v>abir134017@gmail.com</v>
      </c>
      <c r="D4" s="3" t="str">
        <f>IFERROR(__xludf.DUMMYFUNCTION("""COMPUTED_VALUE"""),"01303083334")</f>
        <v>01303083334</v>
      </c>
      <c r="E4" s="3" t="str">
        <f>IFERROR(__xludf.DUMMYFUNCTION("""COMPUTED_VALUE"""),"M")</f>
        <v>M</v>
      </c>
      <c r="F4" s="3">
        <v>503.0</v>
      </c>
    </row>
    <row r="5">
      <c r="A5" s="3" t="str">
        <f>IFERROR(__xludf.DUMMYFUNCTION("""COMPUTED_VALUE"""),"DGI0H5G76Y")</f>
        <v>DGI0H5G76Y</v>
      </c>
      <c r="B5" s="3" t="str">
        <f>IFERROR(__xludf.DUMMYFUNCTION("""COMPUTED_VALUE"""),"MD IMDADUL HAQUE PARVES ")</f>
        <v>MD IMDADUL HAQUE PARVES </v>
      </c>
      <c r="C5" s="3" t="str">
        <f>IFERROR(__xludf.DUMMYFUNCTION("""COMPUTED_VALUE"""),"imdadulhaque101ndc@gmail.com")</f>
        <v>imdadulhaque101ndc@gmail.com</v>
      </c>
      <c r="D5" s="3" t="str">
        <f>IFERROR(__xludf.DUMMYFUNCTION("""COMPUTED_VALUE"""),"01705714078")</f>
        <v>01705714078</v>
      </c>
      <c r="E5" s="3" t="str">
        <f>IFERROR(__xludf.DUMMYFUNCTION("""COMPUTED_VALUE"""),"L")</f>
        <v>L</v>
      </c>
      <c r="F5" s="3">
        <v>504.0</v>
      </c>
    </row>
    <row r="6">
      <c r="A6" s="3" t="str">
        <f>IFERROR(__xludf.DUMMYFUNCTION("""COMPUTED_VALUE"""),"DGI8H5MPKO")</f>
        <v>DGI8H5MPKO</v>
      </c>
      <c r="B6" s="3" t="str">
        <f>IFERROR(__xludf.DUMMYFUNCTION("""COMPUTED_VALUE"""),"MD. ABU SAYED")</f>
        <v>MD. ABU SAYED</v>
      </c>
      <c r="C6" s="3" t="str">
        <f>IFERROR(__xludf.DUMMYFUNCTION("""COMPUTED_VALUE"""),"sayedbda1@gmail.com")</f>
        <v>sayedbda1@gmail.com</v>
      </c>
      <c r="D6" s="3" t="str">
        <f>IFERROR(__xludf.DUMMYFUNCTION("""COMPUTED_VALUE"""),"01770969386")</f>
        <v>01770969386</v>
      </c>
      <c r="E6" s="3" t="str">
        <f>IFERROR(__xludf.DUMMYFUNCTION("""COMPUTED_VALUE"""),"XL")</f>
        <v>XL</v>
      </c>
      <c r="F6" s="3">
        <v>505.0</v>
      </c>
    </row>
    <row r="7">
      <c r="A7" s="3" t="str">
        <f>IFERROR(__xludf.DUMMYFUNCTION("""COMPUTED_VALUE"""),"DGI6H5OYLA")</f>
        <v>DGI6H5OYLA</v>
      </c>
      <c r="B7" s="3" t="str">
        <f>IFERROR(__xludf.DUMMYFUNCTION("""COMPUTED_VALUE"""),"Maisha Khatun ")</f>
        <v>Maisha Khatun </v>
      </c>
      <c r="C7" s="3" t="str">
        <f>IFERROR(__xludf.DUMMYFUNCTION("""COMPUTED_VALUE"""),"maishakhatun516@gmail.com")</f>
        <v>maishakhatun516@gmail.com</v>
      </c>
      <c r="D7" s="3" t="str">
        <f>IFERROR(__xludf.DUMMYFUNCTION("""COMPUTED_VALUE"""),"01303692235")</f>
        <v>01303692235</v>
      </c>
      <c r="E7" s="3" t="str">
        <f>IFERROR(__xludf.DUMMYFUNCTION("""COMPUTED_VALUE"""),"M")</f>
        <v>M</v>
      </c>
      <c r="F7" s="3">
        <v>506.0</v>
      </c>
    </row>
    <row r="8">
      <c r="A8" s="3" t="str">
        <f>IFERROR(__xludf.DUMMYFUNCTION("""COMPUTED_VALUE"""),"DGI7H5ZKMN")</f>
        <v>DGI7H5ZKMN</v>
      </c>
      <c r="B8" s="3" t="str">
        <f>IFERROR(__xludf.DUMMYFUNCTION("""COMPUTED_VALUE"""),"Md.Sifath Ullah Sami ")</f>
        <v>Md.Sifath Ullah Sami </v>
      </c>
      <c r="C8" s="3" t="str">
        <f>IFERROR(__xludf.DUMMYFUNCTION("""COMPUTED_VALUE"""),"sifathullahsami@gmail.com")</f>
        <v>sifathullahsami@gmail.com</v>
      </c>
      <c r="D8" s="3" t="str">
        <f>IFERROR(__xludf.DUMMYFUNCTION("""COMPUTED_VALUE"""),"01729984759")</f>
        <v>01729984759</v>
      </c>
      <c r="E8" s="3" t="str">
        <f>IFERROR(__xludf.DUMMYFUNCTION("""COMPUTED_VALUE"""),"XL")</f>
        <v>XL</v>
      </c>
      <c r="F8" s="3">
        <v>507.0</v>
      </c>
    </row>
    <row r="9">
      <c r="A9" s="3" t="str">
        <f>IFERROR(__xludf.DUMMYFUNCTION("""COMPUTED_VALUE"""),"DGI2H621CE")</f>
        <v>DGI2H621CE</v>
      </c>
      <c r="B9" s="3" t="str">
        <f>IFERROR(__xludf.DUMMYFUNCTION("""COMPUTED_VALUE"""),"Kamrul Hasan ")</f>
        <v>Kamrul Hasan </v>
      </c>
      <c r="C9" s="3" t="str">
        <f>IFERROR(__xludf.DUMMYFUNCTION("""COMPUTED_VALUE"""),"Kamrulhasanshant99@gmail.com")</f>
        <v>Kamrulhasanshant99@gmail.com</v>
      </c>
      <c r="D9" s="3" t="str">
        <f>IFERROR(__xludf.DUMMYFUNCTION("""COMPUTED_VALUE"""),"01991703992")</f>
        <v>01991703992</v>
      </c>
      <c r="E9" s="3" t="str">
        <f>IFERROR(__xludf.DUMMYFUNCTION("""COMPUTED_VALUE"""),"L")</f>
        <v>L</v>
      </c>
      <c r="F9" s="3">
        <v>508.0</v>
      </c>
    </row>
    <row r="10">
      <c r="A10" s="3" t="str">
        <f>IFERROR(__xludf.DUMMYFUNCTION("""COMPUTED_VALUE"""),"DGI0H6EQSO")</f>
        <v>DGI0H6EQSO</v>
      </c>
      <c r="B10" s="3" t="str">
        <f>IFERROR(__xludf.DUMMYFUNCTION("""COMPUTED_VALUE"""),"Md. Shoriful Islam Joy ")</f>
        <v>Md. Shoriful Islam Joy </v>
      </c>
      <c r="C10" s="3" t="str">
        <f>IFERROR(__xludf.DUMMYFUNCTION("""COMPUTED_VALUE"""),"joybmbju@gmail.com")</f>
        <v>joybmbju@gmail.com</v>
      </c>
      <c r="D10" s="3" t="str">
        <f>IFERROR(__xludf.DUMMYFUNCTION("""COMPUTED_VALUE"""),"01929757592")</f>
        <v>01929757592</v>
      </c>
      <c r="E10" s="3" t="str">
        <f>IFERROR(__xludf.DUMMYFUNCTION("""COMPUTED_VALUE"""),"M")</f>
        <v>M</v>
      </c>
      <c r="F10" s="3">
        <v>509.0</v>
      </c>
    </row>
    <row r="11">
      <c r="A11" s="3" t="str">
        <f>IFERROR(__xludf.DUMMYFUNCTION("""COMPUTED_VALUE"""),"DGI9H759RJ")</f>
        <v>DGI9H759RJ</v>
      </c>
      <c r="B11" s="3" t="str">
        <f>IFERROR(__xludf.DUMMYFUNCTION("""COMPUTED_VALUE"""),"Md. Naim Pramanik")</f>
        <v>Md. Naim Pramanik</v>
      </c>
      <c r="C11" s="3" t="str">
        <f>IFERROR(__xludf.DUMMYFUNCTION("""COMPUTED_VALUE"""),"naimpr46@gmail.com")</f>
        <v>naimpr46@gmail.com</v>
      </c>
      <c r="D11" s="3" t="str">
        <f>IFERROR(__xludf.DUMMYFUNCTION("""COMPUTED_VALUE"""),"01521321877")</f>
        <v>01521321877</v>
      </c>
      <c r="E11" s="3" t="str">
        <f>IFERROR(__xludf.DUMMYFUNCTION("""COMPUTED_VALUE"""),"XL")</f>
        <v>XL</v>
      </c>
      <c r="F11" s="3">
        <v>510.0</v>
      </c>
    </row>
    <row r="12">
      <c r="A12" s="3" t="str">
        <f>IFERROR(__xludf.DUMMYFUNCTION("""COMPUTED_VALUE"""),"DGI8H7X4AC")</f>
        <v>DGI8H7X4AC</v>
      </c>
      <c r="B12" s="3" t="str">
        <f>IFERROR(__xludf.DUMMYFUNCTION("""COMPUTED_VALUE"""),"Jannatul Ferdaus Mili ")</f>
        <v>Jannatul Ferdaus Mili </v>
      </c>
      <c r="C12" s="3" t="str">
        <f>IFERROR(__xludf.DUMMYFUNCTION("""COMPUTED_VALUE"""),"milianthroju@gmail.com")</f>
        <v>milianthroju@gmail.com</v>
      </c>
      <c r="D12" s="3" t="str">
        <f>IFERROR(__xludf.DUMMYFUNCTION("""COMPUTED_VALUE"""),"01405970606")</f>
        <v>01405970606</v>
      </c>
      <c r="E12" s="3" t="str">
        <f>IFERROR(__xludf.DUMMYFUNCTION("""COMPUTED_VALUE"""),"XL")</f>
        <v>XL</v>
      </c>
      <c r="F12" s="3">
        <v>511.0</v>
      </c>
    </row>
    <row r="13">
      <c r="A13" s="3" t="str">
        <f>IFERROR(__xludf.DUMMYFUNCTION("""COMPUTED_VALUE"""),"DGI4H80XCE")</f>
        <v>DGI4H80XCE</v>
      </c>
      <c r="B13" s="3" t="str">
        <f>IFERROR(__xludf.DUMMYFUNCTION("""COMPUTED_VALUE"""),"Sakibul Islam Farabbi ")</f>
        <v>Sakibul Islam Farabbi </v>
      </c>
      <c r="C13" s="3" t="str">
        <f>IFERROR(__xludf.DUMMYFUNCTION("""COMPUTED_VALUE"""),"sakibulislm26@gmail.com")</f>
        <v>sakibulislm26@gmail.com</v>
      </c>
      <c r="D13" s="3" t="str">
        <f>IFERROR(__xludf.DUMMYFUNCTION("""COMPUTED_VALUE"""),"01771705723")</f>
        <v>01771705723</v>
      </c>
      <c r="E13" s="3" t="str">
        <f>IFERROR(__xludf.DUMMYFUNCTION("""COMPUTED_VALUE"""),"XL")</f>
        <v>XL</v>
      </c>
      <c r="F13" s="3">
        <v>512.0</v>
      </c>
    </row>
    <row r="14">
      <c r="A14" s="3" t="str">
        <f>IFERROR(__xludf.DUMMYFUNCTION("""COMPUTED_VALUE"""),"DGI2H83P8Q")</f>
        <v>DGI2H83P8Q</v>
      </c>
      <c r="B14" s="3" t="str">
        <f>IFERROR(__xludf.DUMMYFUNCTION("""COMPUTED_VALUE"""),"MD SHAHIN SHEIKH")</f>
        <v>MD SHAHIN SHEIKH</v>
      </c>
      <c r="C14" s="3" t="str">
        <f>IFERROR(__xludf.DUMMYFUNCTION("""COMPUTED_VALUE"""),"shahinrehman200349@gmail.com")</f>
        <v>shahinrehman200349@gmail.com</v>
      </c>
      <c r="D14" s="3" t="str">
        <f>IFERROR(__xludf.DUMMYFUNCTION("""COMPUTED_VALUE"""),"01812699444")</f>
        <v>01812699444</v>
      </c>
      <c r="E14" s="3" t="str">
        <f>IFERROR(__xludf.DUMMYFUNCTION("""COMPUTED_VALUE"""),"L")</f>
        <v>L</v>
      </c>
      <c r="F14" s="3">
        <v>513.0</v>
      </c>
    </row>
    <row r="15">
      <c r="A15" s="3" t="str">
        <f>IFERROR(__xludf.DUMMYFUNCTION("""COMPUTED_VALUE"""),"DGI6H8GRQ2")</f>
        <v>DGI6H8GRQ2</v>
      </c>
      <c r="B15" s="3" t="str">
        <f>IFERROR(__xludf.DUMMYFUNCTION("""COMPUTED_VALUE"""),"Nusrat Jahan Afrin ")</f>
        <v>Nusrat Jahan Afrin </v>
      </c>
      <c r="C15" s="3" t="str">
        <f>IFERROR(__xludf.DUMMYFUNCTION("""COMPUTED_VALUE"""),"nusratafrin292@gmail.com")</f>
        <v>nusratafrin292@gmail.com</v>
      </c>
      <c r="D15" s="3" t="str">
        <f>IFERROR(__xludf.DUMMYFUNCTION("""COMPUTED_VALUE"""),"01315929572")</f>
        <v>01315929572</v>
      </c>
      <c r="E15" s="3" t="str">
        <f>IFERROR(__xludf.DUMMYFUNCTION("""COMPUTED_VALUE"""),"3XL")</f>
        <v>3XL</v>
      </c>
      <c r="F15" s="3">
        <v>514.0</v>
      </c>
    </row>
    <row r="16">
      <c r="A16" s="3" t="str">
        <f>IFERROR(__xludf.DUMMYFUNCTION("""COMPUTED_VALUE"""),"DGI3H9TDB9")</f>
        <v>DGI3H9TDB9</v>
      </c>
      <c r="B16" s="3" t="str">
        <f>IFERROR(__xludf.DUMMYFUNCTION("""COMPUTED_VALUE"""),"MD.PARVEZ MOSHAROF")</f>
        <v>MD.PARVEZ MOSHAROF</v>
      </c>
      <c r="C16" s="3" t="str">
        <f>IFERROR(__xludf.DUMMYFUNCTION("""COMPUTED_VALUE"""),"mosharofp51@gmail.com")</f>
        <v>mosharofp51@gmail.com</v>
      </c>
      <c r="D16" s="3" t="str">
        <f>IFERROR(__xludf.DUMMYFUNCTION("""COMPUTED_VALUE"""),"01318152109")</f>
        <v>01318152109</v>
      </c>
      <c r="E16" s="3" t="str">
        <f>IFERROR(__xludf.DUMMYFUNCTION("""COMPUTED_VALUE"""),"XL")</f>
        <v>XL</v>
      </c>
      <c r="F16" s="3">
        <v>515.0</v>
      </c>
    </row>
    <row r="17">
      <c r="A17" s="3" t="str">
        <f>IFERROR(__xludf.DUMMYFUNCTION("""COMPUTED_VALUE"""),"DGI9H9XA0P")</f>
        <v>DGI9H9XA0P</v>
      </c>
      <c r="B17" s="3" t="str">
        <f>IFERROR(__xludf.DUMMYFUNCTION("""COMPUTED_VALUE"""),"Md Majidul Islam Manik")</f>
        <v>Md Majidul Islam Manik</v>
      </c>
      <c r="C17" s="3" t="str">
        <f>IFERROR(__xludf.DUMMYFUNCTION("""COMPUTED_VALUE"""),"ahmmanik37@gmail.com")</f>
        <v>ahmmanik37@gmail.com</v>
      </c>
      <c r="D17" s="3" t="str">
        <f>IFERROR(__xludf.DUMMYFUNCTION("""COMPUTED_VALUE"""),"01737033103")</f>
        <v>01737033103</v>
      </c>
      <c r="E17" s="3" t="str">
        <f>IFERROR(__xludf.DUMMYFUNCTION("""COMPUTED_VALUE"""),"2xl")</f>
        <v>2xl</v>
      </c>
      <c r="F17" s="3">
        <v>516.0</v>
      </c>
    </row>
    <row r="18">
      <c r="A18" s="3" t="str">
        <f>IFERROR(__xludf.DUMMYFUNCTION("""COMPUTED_VALUE"""),"DGI9H9XSV1")</f>
        <v>DGI9H9XSV1</v>
      </c>
      <c r="B18" s="3" t="str">
        <f>IFERROR(__xludf.DUMMYFUNCTION("""COMPUTED_VALUE"""),"Mst. Nusrat Jahan ")</f>
        <v>Mst. Nusrat Jahan </v>
      </c>
      <c r="C18" s="3" t="str">
        <f>IFERROR(__xludf.DUMMYFUNCTION("""COMPUTED_VALUE"""),"nusratsumaiya691@gmail.com")</f>
        <v>nusratsumaiya691@gmail.com</v>
      </c>
      <c r="D18" s="3" t="str">
        <f>IFERROR(__xludf.DUMMYFUNCTION("""COMPUTED_VALUE"""),"01765168705")</f>
        <v>01765168705</v>
      </c>
      <c r="E18" s="3" t="str">
        <f>IFERROR(__xludf.DUMMYFUNCTION("""COMPUTED_VALUE"""),"M")</f>
        <v>M</v>
      </c>
      <c r="F18" s="3">
        <v>517.0</v>
      </c>
    </row>
    <row r="19">
      <c r="A19" s="3" t="str">
        <f>IFERROR(__xludf.DUMMYFUNCTION("""COMPUTED_VALUE"""),"DGI1HAG0GH")</f>
        <v>DGI1HAG0GH</v>
      </c>
      <c r="B19" s="3" t="str">
        <f>IFERROR(__xludf.DUMMYFUNCTION("""COMPUTED_VALUE"""),"Foysal Khan ")</f>
        <v>Foysal Khan </v>
      </c>
      <c r="C19" s="3" t="str">
        <f>IFERROR(__xludf.DUMMYFUNCTION("""COMPUTED_VALUE"""),"mdfoysalsheikh36@gmail ")</f>
        <v>mdfoysalsheikh36@gmail </v>
      </c>
      <c r="D19" s="3" t="str">
        <f>IFERROR(__xludf.DUMMYFUNCTION("""COMPUTED_VALUE"""),"01311949125")</f>
        <v>01311949125</v>
      </c>
      <c r="E19" s="3" t="str">
        <f>IFERROR(__xludf.DUMMYFUNCTION("""COMPUTED_VALUE"""),"L")</f>
        <v>L</v>
      </c>
      <c r="F19" s="3">
        <v>518.0</v>
      </c>
    </row>
    <row r="20">
      <c r="A20" s="3" t="str">
        <f>IFERROR(__xludf.DUMMYFUNCTION("""COMPUTED_VALUE"""),"DGI9HBFYG1")</f>
        <v>DGI9HBFYG1</v>
      </c>
      <c r="B20" s="3" t="str">
        <f>IFERROR(__xludf.DUMMYFUNCTION("""COMPUTED_VALUE"""),"Md. Laden")</f>
        <v>Md. Laden</v>
      </c>
      <c r="C20" s="3" t="str">
        <f>IFERROR(__xludf.DUMMYFUNCTION("""COMPUTED_VALUE"""),"20241659736laden@juniv.edu")</f>
        <v>20241659736laden@juniv.edu</v>
      </c>
      <c r="D20" s="3" t="str">
        <f>IFERROR(__xludf.DUMMYFUNCTION("""COMPUTED_VALUE"""),"01758160097")</f>
        <v>01758160097</v>
      </c>
      <c r="E20" s="3" t="str">
        <f>IFERROR(__xludf.DUMMYFUNCTION("""COMPUTED_VALUE"""),"L")</f>
        <v>L</v>
      </c>
      <c r="F20" s="3">
        <v>519.0</v>
      </c>
    </row>
    <row r="21">
      <c r="A21" s="3" t="str">
        <f>IFERROR(__xludf.DUMMYFUNCTION("""COMPUTED_VALUE"""),"DGI0HBJ8B4")</f>
        <v>DGI0HBJ8B4</v>
      </c>
      <c r="B21" s="3" t="str">
        <f>IFERROR(__xludf.DUMMYFUNCTION("""COMPUTED_VALUE"""),"Obidul Hoque Seam")</f>
        <v>Obidul Hoque Seam</v>
      </c>
      <c r="C21" s="3" t="str">
        <f>IFERROR(__xludf.DUMMYFUNCTION("""COMPUTED_VALUE"""),"seam.53@geography-juniv.edu.bd")</f>
        <v>seam.53@geography-juniv.edu.bd</v>
      </c>
      <c r="D21" s="3" t="str">
        <f>IFERROR(__xludf.DUMMYFUNCTION("""COMPUTED_VALUE"""),"01646857400")</f>
        <v>01646857400</v>
      </c>
      <c r="E21" s="3" t="str">
        <f>IFERROR(__xludf.DUMMYFUNCTION("""COMPUTED_VALUE"""),"S")</f>
        <v>S</v>
      </c>
      <c r="F21" s="3">
        <v>520.0</v>
      </c>
    </row>
    <row r="22">
      <c r="A22" s="3" t="str">
        <f>IFERROR(__xludf.DUMMYFUNCTION("""COMPUTED_VALUE"""),"DGI5HBLR4F")</f>
        <v>DGI5HBLR4F</v>
      </c>
      <c r="B22" s="3" t="str">
        <f>IFERROR(__xludf.DUMMYFUNCTION("""COMPUTED_VALUE"""),"Md. Zahidul Islam ")</f>
        <v>Md. Zahidul Islam </v>
      </c>
      <c r="C22" s="3" t="str">
        <f>IFERROR(__xludf.DUMMYFUNCTION("""COMPUTED_VALUE"""),"nabiljahid65@gmail.com")</f>
        <v>nabiljahid65@gmail.com</v>
      </c>
      <c r="D22" s="3" t="str">
        <f>IFERROR(__xludf.DUMMYFUNCTION("""COMPUTED_VALUE"""),"01758252113")</f>
        <v>01758252113</v>
      </c>
      <c r="E22" s="3" t="str">
        <f>IFERROR(__xludf.DUMMYFUNCTION("""COMPUTED_VALUE"""),"XL")</f>
        <v>XL</v>
      </c>
      <c r="F22" s="3">
        <v>521.0</v>
      </c>
    </row>
    <row r="23">
      <c r="A23" s="3" t="str">
        <f>IFERROR(__xludf.DUMMYFUNCTION("""COMPUTED_VALUE"""),"DGI2HBYJTW")</f>
        <v>DGI2HBYJTW</v>
      </c>
      <c r="B23" s="3" t="str">
        <f>IFERROR(__xludf.DUMMYFUNCTION("""COMPUTED_VALUE"""),"Jia Uddin Asif ")</f>
        <v>Jia Uddin Asif </v>
      </c>
      <c r="C23" s="3" t="str">
        <f>IFERROR(__xludf.DUMMYFUNCTION("""COMPUTED_VALUE"""),"jiauddinasif@gmail.com")</f>
        <v>jiauddinasif@gmail.com</v>
      </c>
      <c r="D23" s="3" t="str">
        <f>IFERROR(__xludf.DUMMYFUNCTION("""COMPUTED_VALUE"""),"01794526052")</f>
        <v>01794526052</v>
      </c>
      <c r="E23" s="3" t="str">
        <f>IFERROR(__xludf.DUMMYFUNCTION("""COMPUTED_VALUE"""),"L")</f>
        <v>L</v>
      </c>
      <c r="F23" s="3">
        <v>522.0</v>
      </c>
    </row>
    <row r="24">
      <c r="A24" s="3" t="str">
        <f>IFERROR(__xludf.DUMMYFUNCTION("""COMPUTED_VALUE"""),"DGI7HC1YCB")</f>
        <v>DGI7HC1YCB</v>
      </c>
      <c r="B24" s="3" t="str">
        <f>IFERROR(__xludf.DUMMYFUNCTION("""COMPUTED_VALUE"""),"Mohiuddin Babar")</f>
        <v>Mohiuddin Babar</v>
      </c>
      <c r="C24" s="3" t="str">
        <f>IFERROR(__xludf.DUMMYFUNCTION("""COMPUTED_VALUE"""),"mohiuddinbabar86@gmail.com")</f>
        <v>mohiuddinbabar86@gmail.com</v>
      </c>
      <c r="D24" s="3" t="str">
        <f>IFERROR(__xludf.DUMMYFUNCTION("""COMPUTED_VALUE"""),"01518926906")</f>
        <v>01518926906</v>
      </c>
      <c r="E24" s="3" t="str">
        <f>IFERROR(__xludf.DUMMYFUNCTION("""COMPUTED_VALUE"""),"XL")</f>
        <v>XL</v>
      </c>
      <c r="F24" s="3">
        <v>523.0</v>
      </c>
    </row>
    <row r="25">
      <c r="A25" s="3" t="str">
        <f>IFERROR(__xludf.DUMMYFUNCTION("""COMPUTED_VALUE"""),"DGI2HCFCWE")</f>
        <v>DGI2HCFCWE</v>
      </c>
      <c r="B25" s="3" t="str">
        <f>IFERROR(__xludf.DUMMYFUNCTION("""COMPUTED_VALUE"""),"Md. Samaun Elahee ")</f>
        <v>Md. Samaun Elahee </v>
      </c>
      <c r="C25" s="3" t="str">
        <f>IFERROR(__xludf.DUMMYFUNCTION("""COMPUTED_VALUE"""),"Samaunelaheekaba002@gmail.com")</f>
        <v>Samaunelaheekaba002@gmail.com</v>
      </c>
      <c r="D25" s="3" t="str">
        <f>IFERROR(__xludf.DUMMYFUNCTION("""COMPUTED_VALUE"""),"01833649427")</f>
        <v>01833649427</v>
      </c>
      <c r="E25" s="3" t="str">
        <f>IFERROR(__xludf.DUMMYFUNCTION("""COMPUTED_VALUE"""),"2XL")</f>
        <v>2XL</v>
      </c>
      <c r="F25" s="3">
        <v>524.0</v>
      </c>
    </row>
    <row r="26">
      <c r="A26" s="3" t="str">
        <f>IFERROR(__xludf.DUMMYFUNCTION("""COMPUTED_VALUE"""),"DGI0HCFJLG")</f>
        <v>DGI0HCFJLG</v>
      </c>
      <c r="B26" s="3" t="str">
        <f>IFERROR(__xludf.DUMMYFUNCTION("""COMPUTED_VALUE"""),"Aysha Akter ")</f>
        <v>Aysha Akter </v>
      </c>
      <c r="C26" s="3" t="str">
        <f>IFERROR(__xludf.DUMMYFUNCTION("""COMPUTED_VALUE"""),"ayshaakterj66@gmail.com")</f>
        <v>ayshaakterj66@gmail.com</v>
      </c>
      <c r="D26" s="3" t="str">
        <f>IFERROR(__xludf.DUMMYFUNCTION("""COMPUTED_VALUE"""),"01977922462")</f>
        <v>01977922462</v>
      </c>
      <c r="E26" s="3" t="str">
        <f>IFERROR(__xludf.DUMMYFUNCTION("""COMPUTED_VALUE"""),"S")</f>
        <v>S</v>
      </c>
      <c r="F26" s="3">
        <v>525.0</v>
      </c>
    </row>
    <row r="27">
      <c r="A27" s="3" t="str">
        <f>IFERROR(__xludf.DUMMYFUNCTION("""COMPUTED_VALUE"""),"DGI7HCNMJ9")</f>
        <v>DGI7HCNMJ9</v>
      </c>
      <c r="B27" s="3" t="str">
        <f>IFERROR(__xludf.DUMMYFUNCTION("""COMPUTED_VALUE"""),"MD. Shahed Annam ")</f>
        <v>MD. Shahed Annam </v>
      </c>
      <c r="C27" s="3" t="str">
        <f>IFERROR(__xludf.DUMMYFUNCTION("""COMPUTED_VALUE"""),"shahedanam2018@gmail.com")</f>
        <v>shahedanam2018@gmail.com</v>
      </c>
      <c r="D27" s="3" t="str">
        <f>IFERROR(__xludf.DUMMYFUNCTION("""COMPUTED_VALUE"""),"01868896967")</f>
        <v>01868896967</v>
      </c>
      <c r="E27" s="3" t="str">
        <f>IFERROR(__xludf.DUMMYFUNCTION("""COMPUTED_VALUE"""),"XL")</f>
        <v>XL</v>
      </c>
      <c r="F27" s="3">
        <v>526.0</v>
      </c>
    </row>
    <row r="28">
      <c r="A28" s="3" t="str">
        <f>IFERROR(__xludf.DUMMYFUNCTION("""COMPUTED_VALUE"""),"DGI5HD612B")</f>
        <v>DGI5HD612B</v>
      </c>
      <c r="B28" s="3" t="str">
        <f>IFERROR(__xludf.DUMMYFUNCTION("""COMPUTED_VALUE"""),"Sagor Das Turja")</f>
        <v>Sagor Das Turja</v>
      </c>
      <c r="C28" s="3" t="str">
        <f>IFERROR(__xludf.DUMMYFUNCTION("""COMPUTED_VALUE"""),"turjadas366@gmail.com")</f>
        <v>turjadas366@gmail.com</v>
      </c>
      <c r="D28" s="3" t="str">
        <f>IFERROR(__xludf.DUMMYFUNCTION("""COMPUTED_VALUE"""),"01872860224")</f>
        <v>01872860224</v>
      </c>
      <c r="E28" s="3" t="str">
        <f>IFERROR(__xludf.DUMMYFUNCTION("""COMPUTED_VALUE"""),"L")</f>
        <v>L</v>
      </c>
      <c r="F28" s="3">
        <v>527.0</v>
      </c>
    </row>
    <row r="29">
      <c r="A29" s="3" t="str">
        <f>IFERROR(__xludf.DUMMYFUNCTION("""COMPUTED_VALUE"""),"DGI7HDCCQH")</f>
        <v>DGI7HDCCQH</v>
      </c>
      <c r="B29" s="3" t="str">
        <f>IFERROR(__xludf.DUMMYFUNCTION("""COMPUTED_VALUE"""),"Eshtiak Ahamad Shefat")</f>
        <v>Eshtiak Ahamad Shefat</v>
      </c>
      <c r="C29" s="3" t="str">
        <f>IFERROR(__xludf.DUMMYFUNCTION("""COMPUTED_VALUE"""),"eshtiakshefat15.3@gmail.com")</f>
        <v>eshtiakshefat15.3@gmail.com</v>
      </c>
      <c r="D29" s="3" t="str">
        <f>IFERROR(__xludf.DUMMYFUNCTION("""COMPUTED_VALUE"""),"01950036530")</f>
        <v>01950036530</v>
      </c>
      <c r="E29" s="3" t="str">
        <f>IFERROR(__xludf.DUMMYFUNCTION("""COMPUTED_VALUE"""),"L")</f>
        <v>L</v>
      </c>
      <c r="F29" s="3">
        <v>528.0</v>
      </c>
    </row>
    <row r="30">
      <c r="A30" s="3" t="str">
        <f>IFERROR(__xludf.DUMMYFUNCTION("""COMPUTED_VALUE"""),"DGI3HDTJ73")</f>
        <v>DGI3HDTJ73</v>
      </c>
      <c r="B30" s="3" t="str">
        <f>IFERROR(__xludf.DUMMYFUNCTION("""COMPUTED_VALUE"""),"Rohan Ferdous ")</f>
        <v>Rohan Ferdous </v>
      </c>
      <c r="C30" s="3" t="str">
        <f>IFERROR(__xludf.DUMMYFUNCTION("""COMPUTED_VALUE"""),"rohanferdousrohan@gmail.com")</f>
        <v>rohanferdousrohan@gmail.com</v>
      </c>
      <c r="D30" s="3" t="str">
        <f>IFERROR(__xludf.DUMMYFUNCTION("""COMPUTED_VALUE"""),"01849988842")</f>
        <v>01849988842</v>
      </c>
      <c r="E30" s="3" t="str">
        <f>IFERROR(__xludf.DUMMYFUNCTION("""COMPUTED_VALUE"""),"L")</f>
        <v>L</v>
      </c>
      <c r="F30" s="3">
        <v>529.0</v>
      </c>
    </row>
    <row r="31">
      <c r="A31" s="3" t="str">
        <f>IFERROR(__xludf.DUMMYFUNCTION("""COMPUTED_VALUE"""),"DGI5HE5NAL")</f>
        <v>DGI5HE5NAL</v>
      </c>
      <c r="B31" s="3" t="str">
        <f>IFERROR(__xludf.DUMMYFUNCTION("""COMPUTED_VALUE"""),"Md Mosabbir Hosen")</f>
        <v>Md Mosabbir Hosen</v>
      </c>
      <c r="C31" s="3" t="str">
        <f>IFERROR(__xludf.DUMMYFUNCTION("""COMPUTED_VALUE"""),"mdmosabbir13087@gmail.com")</f>
        <v>mdmosabbir13087@gmail.com</v>
      </c>
      <c r="D31" s="3" t="str">
        <f>IFERROR(__xludf.DUMMYFUNCTION("""COMPUTED_VALUE"""),"01774297647")</f>
        <v>01774297647</v>
      </c>
      <c r="E31" s="3" t="str">
        <f>IFERROR(__xludf.DUMMYFUNCTION("""COMPUTED_VALUE"""),"L")</f>
        <v>L</v>
      </c>
      <c r="F31" s="3">
        <v>530.0</v>
      </c>
    </row>
    <row r="32">
      <c r="A32" s="3" t="str">
        <f>IFERROR(__xludf.DUMMYFUNCTION("""COMPUTED_VALUE"""),"DGI7HEWXNX")</f>
        <v>DGI7HEWXNX</v>
      </c>
      <c r="B32" s="3" t="str">
        <f>IFERROR(__xludf.DUMMYFUNCTION("""COMPUTED_VALUE"""),"Md. Ahsan Habib")</f>
        <v>Md. Ahsan Habib</v>
      </c>
      <c r="C32" s="3" t="str">
        <f>IFERROR(__xludf.DUMMYFUNCTION("""COMPUTED_VALUE"""),"ahashanhabib8851@gmail.com")</f>
        <v>ahashanhabib8851@gmail.com</v>
      </c>
      <c r="D32" s="3" t="str">
        <f>IFERROR(__xludf.DUMMYFUNCTION("""COMPUTED_VALUE"""),"01797858851")</f>
        <v>01797858851</v>
      </c>
      <c r="E32" s="3" t="str">
        <f>IFERROR(__xludf.DUMMYFUNCTION("""COMPUTED_VALUE"""),"L")</f>
        <v>L</v>
      </c>
      <c r="F32" s="3">
        <v>531.0</v>
      </c>
    </row>
    <row r="33">
      <c r="A33" s="3" t="str">
        <f>IFERROR(__xludf.DUMMYFUNCTION("""COMPUTED_VALUE"""),"DGI7HEZDKD")</f>
        <v>DGI7HEZDKD</v>
      </c>
      <c r="B33" s="3" t="str">
        <f>IFERROR(__xludf.DUMMYFUNCTION("""COMPUTED_VALUE"""),"Md Asraful Islam ")</f>
        <v>Md Asraful Islam </v>
      </c>
      <c r="C33" s="3" t="str">
        <f>IFERROR(__xludf.DUMMYFUNCTION("""COMPUTED_VALUE"""),"20220254710asraful1@juniv.edu")</f>
        <v>20220254710asraful1@juniv.edu</v>
      </c>
      <c r="D33" s="3" t="str">
        <f>IFERROR(__xludf.DUMMYFUNCTION("""COMPUTED_VALUE"""),"01326041046")</f>
        <v>01326041046</v>
      </c>
      <c r="E33" s="3" t="str">
        <f>IFERROR(__xludf.DUMMYFUNCTION("""COMPUTED_VALUE"""),"L")</f>
        <v>L</v>
      </c>
      <c r="F33" s="3">
        <v>532.0</v>
      </c>
    </row>
    <row r="34">
      <c r="A34" s="3" t="str">
        <f>IFERROR(__xludf.DUMMYFUNCTION("""COMPUTED_VALUE"""),"DGI0HFDFGY")</f>
        <v>DGI0HFDFGY</v>
      </c>
      <c r="B34" s="3" t="str">
        <f>IFERROR(__xludf.DUMMYFUNCTION("""COMPUTED_VALUE"""),"Shaker Ahmed")</f>
        <v>Shaker Ahmed</v>
      </c>
      <c r="C34" s="3" t="str">
        <f>IFERROR(__xludf.DUMMYFUNCTION("""COMPUTED_VALUE"""),"shakir01616@gmail.com")</f>
        <v>shakir01616@gmail.com</v>
      </c>
      <c r="D34" s="3" t="str">
        <f>IFERROR(__xludf.DUMMYFUNCTION("""COMPUTED_VALUE"""),"01309769516")</f>
        <v>01309769516</v>
      </c>
      <c r="E34" s="3" t="str">
        <f>IFERROR(__xludf.DUMMYFUNCTION("""COMPUTED_VALUE"""),"L")</f>
        <v>L</v>
      </c>
      <c r="F34" s="3">
        <v>533.0</v>
      </c>
    </row>
    <row r="35">
      <c r="A35" s="3" t="str">
        <f>IFERROR(__xludf.DUMMYFUNCTION("""COMPUTED_VALUE"""),"DGI8HFDBIO")</f>
        <v>DGI8HFDBIO</v>
      </c>
      <c r="B35" s="3" t="str">
        <f>IFERROR(__xludf.DUMMYFUNCTION("""COMPUTED_VALUE"""),"Emon Hossain Pallas")</f>
        <v>Emon Hossain Pallas</v>
      </c>
      <c r="C35" s="3" t="str">
        <f>IFERROR(__xludf.DUMMYFUNCTION("""COMPUTED_VALUE"""),"e.h.pallas2002@gmail.com")</f>
        <v>e.h.pallas2002@gmail.com</v>
      </c>
      <c r="D35" s="3" t="str">
        <f>IFERROR(__xludf.DUMMYFUNCTION("""COMPUTED_VALUE"""),"01629076188")</f>
        <v>01629076188</v>
      </c>
      <c r="E35" s="3" t="str">
        <f>IFERROR(__xludf.DUMMYFUNCTION("""COMPUTED_VALUE"""),"XL")</f>
        <v>XL</v>
      </c>
      <c r="F35" s="3">
        <v>534.0</v>
      </c>
    </row>
    <row r="36">
      <c r="A36" s="3" t="str">
        <f>IFERROR(__xludf.DUMMYFUNCTION("""COMPUTED_VALUE"""),"DGI0HFF5M6")</f>
        <v>DGI0HFF5M6</v>
      </c>
      <c r="B36" s="3" t="str">
        <f>IFERROR(__xludf.DUMMYFUNCTION("""COMPUTED_VALUE"""),"Muhammad Fardoush")</f>
        <v>Muhammad Fardoush</v>
      </c>
      <c r="C36" s="3" t="str">
        <f>IFERROR(__xludf.DUMMYFUNCTION("""COMPUTED_VALUE"""),"fardoush1810@gmail.com")</f>
        <v>fardoush1810@gmail.com</v>
      </c>
      <c r="D36" s="3" t="str">
        <f>IFERROR(__xludf.DUMMYFUNCTION("""COMPUTED_VALUE"""),"01898341655")</f>
        <v>01898341655</v>
      </c>
      <c r="E36" s="3" t="str">
        <f>IFERROR(__xludf.DUMMYFUNCTION("""COMPUTED_VALUE"""),"XL")</f>
        <v>XL</v>
      </c>
      <c r="F36" s="3">
        <v>535.0</v>
      </c>
    </row>
    <row r="37">
      <c r="A37" s="3" t="str">
        <f>IFERROR(__xludf.DUMMYFUNCTION("""COMPUTED_VALUE"""),"DGI1HFTRDZ")</f>
        <v>DGI1HFTRDZ</v>
      </c>
      <c r="B37" s="3" t="str">
        <f>IFERROR(__xludf.DUMMYFUNCTION("""COMPUTED_VALUE"""),"MD. ABU SAYEED ")</f>
        <v>MD. ABU SAYEED </v>
      </c>
      <c r="C37" s="3" t="str">
        <f>IFERROR(__xludf.DUMMYFUNCTION("""COMPUTED_VALUE"""),"sdh31137@gmail.com")</f>
        <v>sdh31137@gmail.com</v>
      </c>
      <c r="D37" s="3" t="str">
        <f>IFERROR(__xludf.DUMMYFUNCTION("""COMPUTED_VALUE"""),"01308562296")</f>
        <v>01308562296</v>
      </c>
      <c r="E37" s="3" t="str">
        <f>IFERROR(__xludf.DUMMYFUNCTION("""COMPUTED_VALUE"""),"L")</f>
        <v>L</v>
      </c>
      <c r="F37" s="3">
        <v>536.0</v>
      </c>
    </row>
    <row r="38">
      <c r="A38" s="3" t="str">
        <f>IFERROR(__xludf.DUMMYFUNCTION("""COMPUTED_VALUE"""),"DGI6HG557G")</f>
        <v>DGI6HG557G</v>
      </c>
      <c r="B38" s="3" t="str">
        <f>IFERROR(__xludf.DUMMYFUNCTION("""COMPUTED_VALUE"""),"Nader Nihal")</f>
        <v>Nader Nihal</v>
      </c>
      <c r="C38" s="3" t="str">
        <f>IFERROR(__xludf.DUMMYFUNCTION("""COMPUTED_VALUE"""),"nadernihal333@gmail.com")</f>
        <v>nadernihal333@gmail.com</v>
      </c>
      <c r="D38" s="3" t="str">
        <f>IFERROR(__xludf.DUMMYFUNCTION("""COMPUTED_VALUE"""),"01338152449")</f>
        <v>01338152449</v>
      </c>
      <c r="E38" s="3" t="str">
        <f>IFERROR(__xludf.DUMMYFUNCTION("""COMPUTED_VALUE"""),"2XL")</f>
        <v>2XL</v>
      </c>
      <c r="F38" s="3">
        <v>537.0</v>
      </c>
    </row>
    <row r="39">
      <c r="A39" s="3" t="str">
        <f>IFERROR(__xludf.DUMMYFUNCTION("""COMPUTED_VALUE"""),"DGI9HGC4W3")</f>
        <v>DGI9HGC4W3</v>
      </c>
      <c r="B39" s="3" t="str">
        <f>IFERROR(__xludf.DUMMYFUNCTION("""COMPUTED_VALUE"""),"Tanvir Ahmed Shishir")</f>
        <v>Tanvir Ahmed Shishir</v>
      </c>
      <c r="C39" s="3" t="str">
        <f>IFERROR(__xludf.DUMMYFUNCTION("""COMPUTED_VALUE"""),"tanvir54439@gmail.com")</f>
        <v>tanvir54439@gmail.com</v>
      </c>
      <c r="D39" s="3" t="str">
        <f>IFERROR(__xludf.DUMMYFUNCTION("""COMPUTED_VALUE"""),"01623584250")</f>
        <v>01623584250</v>
      </c>
      <c r="E39" s="3" t="str">
        <f>IFERROR(__xludf.DUMMYFUNCTION("""COMPUTED_VALUE"""),"XL")</f>
        <v>XL</v>
      </c>
      <c r="F39" s="3">
        <v>538.0</v>
      </c>
    </row>
    <row r="40">
      <c r="A40" s="3" t="str">
        <f>IFERROR(__xludf.DUMMYFUNCTION("""COMPUTED_VALUE"""),"DGI7HGM8JP")</f>
        <v>DGI7HGM8JP</v>
      </c>
      <c r="B40" s="3" t="str">
        <f>IFERROR(__xludf.DUMMYFUNCTION("""COMPUTED_VALUE"""),"MD HISHAM AL ISHRAQ ")</f>
        <v>MD HISHAM AL ISHRAQ </v>
      </c>
      <c r="C40" s="3" t="str">
        <f>IFERROR(__xludf.DUMMYFUNCTION("""COMPUTED_VALUE"""),"hishamvai8@gmail ")</f>
        <v>hishamvai8@gmail </v>
      </c>
      <c r="D40" s="3" t="str">
        <f>IFERROR(__xludf.DUMMYFUNCTION("""COMPUTED_VALUE"""),"01776967467")</f>
        <v>01776967467</v>
      </c>
      <c r="E40" s="3" t="str">
        <f>IFERROR(__xludf.DUMMYFUNCTION("""COMPUTED_VALUE"""),"2XL")</f>
        <v>2XL</v>
      </c>
      <c r="F40" s="3">
        <v>539.0</v>
      </c>
    </row>
    <row r="41">
      <c r="A41" s="3" t="str">
        <f>IFERROR(__xludf.DUMMYFUNCTION("""COMPUTED_VALUE"""),"DGI3HHHDFT")</f>
        <v>DGI3HHHDFT</v>
      </c>
      <c r="B41" s="3" t="str">
        <f>IFERROR(__xludf.DUMMYFUNCTION("""COMPUTED_VALUE"""),"Md. Torikul Islam ")</f>
        <v>Md. Torikul Islam </v>
      </c>
      <c r="C41" s="3" t="str">
        <f>IFERROR(__xludf.DUMMYFUNCTION("""COMPUTED_VALUE"""),"torikulislam2577@gmail.com ")</f>
        <v>torikulislam2577@gmail.com </v>
      </c>
      <c r="D41" s="3" t="str">
        <f>IFERROR(__xludf.DUMMYFUNCTION("""COMPUTED_VALUE"""),"01791-969601")</f>
        <v>01791-969601</v>
      </c>
      <c r="E41" s="3" t="str">
        <f>IFERROR(__xludf.DUMMYFUNCTION("""COMPUTED_VALUE"""),"L")</f>
        <v>L</v>
      </c>
      <c r="F41" s="3">
        <v>540.0</v>
      </c>
    </row>
    <row r="42">
      <c r="A42" s="3" t="str">
        <f>IFERROR(__xludf.DUMMYFUNCTION("""COMPUTED_VALUE"""),"DGI8HI1P70")</f>
        <v>DGI8HI1P70</v>
      </c>
      <c r="B42" s="3" t="str">
        <f>IFERROR(__xludf.DUMMYFUNCTION("""COMPUTED_VALUE"""),"Ahsan Habib")</f>
        <v>Ahsan Habib</v>
      </c>
      <c r="C42" s="3" t="str">
        <f>IFERROR(__xludf.DUMMYFUNCTION("""COMPUTED_VALUE"""),"habib1147@gmail.com")</f>
        <v>habib1147@gmail.com</v>
      </c>
      <c r="D42" s="3" t="str">
        <f>IFERROR(__xludf.DUMMYFUNCTION("""COMPUTED_VALUE"""),"01716786152")</f>
        <v>01716786152</v>
      </c>
      <c r="E42" s="3" t="str">
        <f>IFERROR(__xludf.DUMMYFUNCTION("""COMPUTED_VALUE"""),"M")</f>
        <v>M</v>
      </c>
      <c r="F42" s="3">
        <v>541.0</v>
      </c>
    </row>
    <row r="43">
      <c r="A43" s="3" t="str">
        <f>IFERROR(__xludf.DUMMYFUNCTION("""COMPUTED_VALUE"""),"DGI9HIR1ER")</f>
        <v>DGI9HIR1ER</v>
      </c>
      <c r="B43" s="3" t="str">
        <f>IFERROR(__xludf.DUMMYFUNCTION("""COMPUTED_VALUE"""),"Sumaiya Islam Shoshi")</f>
        <v>Sumaiya Islam Shoshi</v>
      </c>
      <c r="C43" s="3" t="str">
        <f>IFERROR(__xludf.DUMMYFUNCTION("""COMPUTED_VALUE"""),"shoshisumaiya01@gmail.com")</f>
        <v>shoshisumaiya01@gmail.com</v>
      </c>
      <c r="D43" s="3" t="str">
        <f>IFERROR(__xludf.DUMMYFUNCTION("""COMPUTED_VALUE"""),"01793069840")</f>
        <v>01793069840</v>
      </c>
      <c r="E43" s="3" t="str">
        <f>IFERROR(__xludf.DUMMYFUNCTION("""COMPUTED_VALUE"""),"XL")</f>
        <v>XL</v>
      </c>
      <c r="F43" s="3">
        <v>542.0</v>
      </c>
    </row>
    <row r="44">
      <c r="A44" s="3" t="str">
        <f>IFERROR(__xludf.DUMMYFUNCTION("""COMPUTED_VALUE"""),"DGI6HJ1T78")</f>
        <v>DGI6HJ1T78</v>
      </c>
      <c r="B44" s="3" t="str">
        <f>IFERROR(__xludf.DUMMYFUNCTION("""COMPUTED_VALUE"""),"SHARIF MOHAMMAD ")</f>
        <v>SHARIF MOHAMMAD </v>
      </c>
      <c r="C44" s="3" t="str">
        <f>IFERROR(__xludf.DUMMYFUNCTION("""COMPUTED_VALUE"""),"sharifmohammad021@gmail.com")</f>
        <v>sharifmohammad021@gmail.com</v>
      </c>
      <c r="D44" s="3" t="str">
        <f>IFERROR(__xludf.DUMMYFUNCTION("""COMPUTED_VALUE"""),"01647248800")</f>
        <v>01647248800</v>
      </c>
      <c r="E44" s="3" t="str">
        <f>IFERROR(__xludf.DUMMYFUNCTION("""COMPUTED_VALUE"""),"XL")</f>
        <v>XL</v>
      </c>
      <c r="F44" s="3">
        <v>543.0</v>
      </c>
    </row>
    <row r="45">
      <c r="A45" s="3" t="str">
        <f>IFERROR(__xludf.DUMMYFUNCTION("""COMPUTED_VALUE"""),"DGI2HJE12Y")</f>
        <v>DGI2HJE12Y</v>
      </c>
      <c r="B45" s="3" t="str">
        <f>IFERROR(__xludf.DUMMYFUNCTION("""COMPUTED_VALUE"""),"Md. Tanvir Mahmud Titas ")</f>
        <v>Md. Tanvir Mahmud Titas </v>
      </c>
      <c r="C45" s="3" t="str">
        <f>IFERROR(__xludf.DUMMYFUNCTION("""COMPUTED_VALUE"""),"titasmahmud815@gmail.com")</f>
        <v>titasmahmud815@gmail.com</v>
      </c>
      <c r="D45" s="3" t="str">
        <f>IFERROR(__xludf.DUMMYFUNCTION("""COMPUTED_VALUE"""),"01722324235")</f>
        <v>01722324235</v>
      </c>
      <c r="E45" s="3" t="str">
        <f>IFERROR(__xludf.DUMMYFUNCTION("""COMPUTED_VALUE"""),"XL")</f>
        <v>XL</v>
      </c>
      <c r="F45" s="3">
        <v>544.0</v>
      </c>
    </row>
    <row r="46">
      <c r="A46" s="3" t="str">
        <f>IFERROR(__xludf.DUMMYFUNCTION("""COMPUTED_VALUE"""),"DGI6HKK4ZA")</f>
        <v>DGI6HKK4ZA</v>
      </c>
      <c r="B46" s="3" t="str">
        <f>IFERROR(__xludf.DUMMYFUNCTION("""COMPUTED_VALUE"""),"Ibrahim Khalil Siam")</f>
        <v>Ibrahim Khalil Siam</v>
      </c>
      <c r="C46" s="3" t="str">
        <f>IFERROR(__xludf.DUMMYFUNCTION("""COMPUTED_VALUE"""),"ibrahimkhalilsiam6@gmail.com")</f>
        <v>ibrahimkhalilsiam6@gmail.com</v>
      </c>
      <c r="D46" s="3" t="str">
        <f>IFERROR(__xludf.DUMMYFUNCTION("""COMPUTED_VALUE"""),"01971630585")</f>
        <v>01971630585</v>
      </c>
      <c r="E46" s="3" t="str">
        <f>IFERROR(__xludf.DUMMYFUNCTION("""COMPUTED_VALUE"""),"M")</f>
        <v>M</v>
      </c>
      <c r="F46" s="3">
        <v>545.0</v>
      </c>
    </row>
    <row r="47">
      <c r="A47" s="3" t="str">
        <f>IFERROR(__xludf.DUMMYFUNCTION("""COMPUTED_VALUE"""),"DGI8HLA29O")</f>
        <v>DGI8HLA29O</v>
      </c>
      <c r="B47" s="3" t="str">
        <f>IFERROR(__xludf.DUMMYFUNCTION("""COMPUTED_VALUE"""),"Shahadat Hridoy ")</f>
        <v>Shahadat Hridoy </v>
      </c>
      <c r="C47" s="3" t="str">
        <f>IFERROR(__xludf.DUMMYFUNCTION("""COMPUTED_VALUE"""),"20232458065@juniv.edu")</f>
        <v>20232458065@juniv.edu</v>
      </c>
      <c r="D47" s="3" t="str">
        <f>IFERROR(__xludf.DUMMYFUNCTION("""COMPUTED_VALUE"""),"01308187263")</f>
        <v>01308187263</v>
      </c>
      <c r="E47" s="3" t="str">
        <f>IFERROR(__xludf.DUMMYFUNCTION("""COMPUTED_VALUE"""),"L")</f>
        <v>L</v>
      </c>
      <c r="F47" s="3">
        <v>546.0</v>
      </c>
    </row>
    <row r="48">
      <c r="A48" s="3" t="str">
        <f>IFERROR(__xludf.DUMMYFUNCTION("""COMPUTED_VALUE"""),"DGI0HLN022")</f>
        <v>DGI0HLN022</v>
      </c>
      <c r="B48" s="3" t="str">
        <f>IFERROR(__xludf.DUMMYFUNCTION("""COMPUTED_VALUE"""),"Md Jamil Hossain ")</f>
        <v>Md Jamil Hossain </v>
      </c>
      <c r="C48" s="3" t="str">
        <f>IFERROR(__xludf.DUMMYFUNCTION("""COMPUTED_VALUE"""),"jamilphi49@gmail.com")</f>
        <v>jamilphi49@gmail.com</v>
      </c>
      <c r="D48" s="3" t="str">
        <f>IFERROR(__xludf.DUMMYFUNCTION("""COMPUTED_VALUE"""),"01755774036")</f>
        <v>01755774036</v>
      </c>
      <c r="E48" s="3" t="str">
        <f>IFERROR(__xludf.DUMMYFUNCTION("""COMPUTED_VALUE"""),"XL")</f>
        <v>XL</v>
      </c>
      <c r="F48" s="3">
        <v>547.0</v>
      </c>
    </row>
    <row r="49">
      <c r="A49" s="3" t="str">
        <f>IFERROR(__xludf.DUMMYFUNCTION("""COMPUTED_VALUE"""),"DGI6HM220I")</f>
        <v>DGI6HM220I</v>
      </c>
      <c r="B49" s="3" t="str">
        <f>IFERROR(__xludf.DUMMYFUNCTION("""COMPUTED_VALUE"""),"Md Rakib Miah")</f>
        <v>Md Rakib Miah</v>
      </c>
      <c r="C49" s="3" t="str">
        <f>IFERROR(__xludf.DUMMYFUNCTION("""COMPUTED_VALUE"""),"rakib.stu20186@juniv.edu")</f>
        <v>rakib.stu20186@juniv.edu</v>
      </c>
      <c r="D49" s="3" t="str">
        <f>IFERROR(__xludf.DUMMYFUNCTION("""COMPUTED_VALUE"""),"01521330741")</f>
        <v>01521330741</v>
      </c>
      <c r="E49" s="3" t="str">
        <f>IFERROR(__xludf.DUMMYFUNCTION("""COMPUTED_VALUE"""),"L")</f>
        <v>L</v>
      </c>
      <c r="F49" s="3">
        <v>548.0</v>
      </c>
    </row>
    <row r="50">
      <c r="A50" s="3" t="str">
        <f>IFERROR(__xludf.DUMMYFUNCTION("""COMPUTED_VALUE"""),"DGI6HMCSIO")</f>
        <v>DGI6HMCSIO</v>
      </c>
      <c r="B50" s="3" t="str">
        <f>IFERROR(__xludf.DUMMYFUNCTION("""COMPUTED_VALUE"""),"Ushanta Tripura ")</f>
        <v>Ushanta Tripura </v>
      </c>
      <c r="C50" s="3" t="str">
        <f>IFERROR(__xludf.DUMMYFUNCTION("""COMPUTED_VALUE"""),"ushantatripura55@gmail.com")</f>
        <v>ushantatripura55@gmail.com</v>
      </c>
      <c r="D50" s="3" t="str">
        <f>IFERROR(__xludf.DUMMYFUNCTION("""COMPUTED_VALUE"""),"01540116337")</f>
        <v>01540116337</v>
      </c>
      <c r="E50" s="3" t="str">
        <f>IFERROR(__xludf.DUMMYFUNCTION("""COMPUTED_VALUE"""),"L")</f>
        <v>L</v>
      </c>
      <c r="F50" s="3">
        <v>549.0</v>
      </c>
    </row>
    <row r="51">
      <c r="A51" s="3" t="str">
        <f>IFERROR(__xludf.DUMMYFUNCTION("""COMPUTED_VALUE"""),"DGI5HMFCA9")</f>
        <v>DGI5HMFCA9</v>
      </c>
      <c r="B51" s="3" t="str">
        <f>IFERROR(__xludf.DUMMYFUNCTION("""COMPUTED_VALUE"""),"Md. Mredul Hossain ")</f>
        <v>Md. Mredul Hossain </v>
      </c>
      <c r="C51" s="3" t="str">
        <f>IFERROR(__xludf.DUMMYFUNCTION("""COMPUTED_VALUE"""),"mredulhossain76@gmail.com")</f>
        <v>mredulhossain76@gmail.com</v>
      </c>
      <c r="D51" s="3" t="str">
        <f>IFERROR(__xludf.DUMMYFUNCTION("""COMPUTED_VALUE"""),"01873704564")</f>
        <v>01873704564</v>
      </c>
      <c r="E51" s="3" t="str">
        <f>IFERROR(__xludf.DUMMYFUNCTION("""COMPUTED_VALUE"""),"XL")</f>
        <v>XL</v>
      </c>
      <c r="F51" s="3">
        <v>550.0</v>
      </c>
    </row>
    <row r="52">
      <c r="A52" s="3" t="str">
        <f>IFERROR(__xludf.DUMMYFUNCTION("""COMPUTED_VALUE"""),"DGI2HMCTFM")</f>
        <v>DGI2HMCTFM</v>
      </c>
      <c r="B52" s="3" t="str">
        <f>IFERROR(__xludf.DUMMYFUNCTION("""COMPUTED_VALUE"""),"Tanvir Hasan Tonmoy")</f>
        <v>Tanvir Hasan Tonmoy</v>
      </c>
      <c r="C52" s="3" t="str">
        <f>IFERROR(__xludf.DUMMYFUNCTION("""COMPUTED_VALUE"""),"tanvirhasantonmoy111@gmail.com")</f>
        <v>tanvirhasantonmoy111@gmail.com</v>
      </c>
      <c r="D52" s="3" t="str">
        <f>IFERROR(__xludf.DUMMYFUNCTION("""COMPUTED_VALUE"""),"01609883425")</f>
        <v>01609883425</v>
      </c>
      <c r="E52" s="3" t="str">
        <f>IFERROR(__xludf.DUMMYFUNCTION("""COMPUTED_VALUE"""),"L")</f>
        <v>L</v>
      </c>
      <c r="F52" s="3">
        <v>551.0</v>
      </c>
    </row>
    <row r="53">
      <c r="A53" s="3" t="str">
        <f>IFERROR(__xludf.DUMMYFUNCTION("""COMPUTED_VALUE"""),"DGI2HM6PIE")</f>
        <v>DGI2HM6PIE</v>
      </c>
      <c r="B53" s="3" t="str">
        <f>IFERROR(__xludf.DUMMYFUNCTION("""COMPUTED_VALUE"""),"Mst: Sumaiya Akter ")</f>
        <v>Mst: Sumaiya Akter </v>
      </c>
      <c r="C53" s="3" t="str">
        <f>IFERROR(__xludf.DUMMYFUNCTION("""COMPUTED_VALUE"""),"Sumaiyashammi52@gmail.com ")</f>
        <v>Sumaiyashammi52@gmail.com </v>
      </c>
      <c r="D53" s="3" t="str">
        <f>IFERROR(__xludf.DUMMYFUNCTION("""COMPUTED_VALUE"""),"01300522985")</f>
        <v>01300522985</v>
      </c>
      <c r="E53" s="3" t="str">
        <f>IFERROR(__xludf.DUMMYFUNCTION("""COMPUTED_VALUE"""),"S- 38-26")</f>
        <v>S- 38-26</v>
      </c>
      <c r="F53" s="3">
        <v>552.0</v>
      </c>
    </row>
    <row r="54">
      <c r="A54" s="3" t="str">
        <f>IFERROR(__xludf.DUMMYFUNCTION("""COMPUTED_VALUE"""),"DGI1HMS5FJ")</f>
        <v>DGI1HMS5FJ</v>
      </c>
      <c r="B54" s="3" t="str">
        <f>IFERROR(__xludf.DUMMYFUNCTION("""COMPUTED_VALUE"""),"Shreela Roy ")</f>
        <v>Shreela Roy </v>
      </c>
      <c r="C54" s="3" t="str">
        <f>IFERROR(__xludf.DUMMYFUNCTION("""COMPUTED_VALUE"""),"shreelaroy88@gmail.com")</f>
        <v>shreelaroy88@gmail.com</v>
      </c>
      <c r="D54" s="3" t="str">
        <f>IFERROR(__xludf.DUMMYFUNCTION("""COMPUTED_VALUE"""),"01721891923")</f>
        <v>01721891923</v>
      </c>
      <c r="E54" s="3" t="str">
        <f>IFERROR(__xludf.DUMMYFUNCTION("""COMPUTED_VALUE"""),"L")</f>
        <v>L</v>
      </c>
      <c r="F54" s="3">
        <v>553.0</v>
      </c>
    </row>
    <row r="55">
      <c r="A55" s="3" t="str">
        <f>IFERROR(__xludf.DUMMYFUNCTION("""COMPUTED_VALUE"""),"DGI2HMROFC")</f>
        <v>DGI2HMROFC</v>
      </c>
      <c r="B55" s="3" t="str">
        <f>IFERROR(__xludf.DUMMYFUNCTION("""COMPUTED_VALUE"""),"Sajib Sarker")</f>
        <v>Sajib Sarker</v>
      </c>
      <c r="C55" s="3" t="str">
        <f>IFERROR(__xludf.DUMMYFUNCTION("""COMPUTED_VALUE"""),"sajibsarker7875@gmail.com")</f>
        <v>sajibsarker7875@gmail.com</v>
      </c>
      <c r="D55" s="3" t="str">
        <f>IFERROR(__xludf.DUMMYFUNCTION("""COMPUTED_VALUE"""),"01518363138")</f>
        <v>01518363138</v>
      </c>
      <c r="E55" s="3" t="str">
        <f>IFERROR(__xludf.DUMMYFUNCTION("""COMPUTED_VALUE"""),"M")</f>
        <v>M</v>
      </c>
      <c r="F55" s="3">
        <v>554.0</v>
      </c>
    </row>
    <row r="56">
      <c r="A56" s="3" t="str">
        <f>IFERROR(__xludf.DUMMYFUNCTION("""COMPUTED_VALUE""")," DGI4HMV35Q")</f>
        <v> DGI4HMV35Q</v>
      </c>
      <c r="B56" s="3" t="str">
        <f>IFERROR(__xludf.DUMMYFUNCTION("""COMPUTED_VALUE"""),"Muhaiminul Islam Sreejon ")</f>
        <v>Muhaiminul Islam Sreejon </v>
      </c>
      <c r="C56" s="3" t="str">
        <f>IFERROR(__xludf.DUMMYFUNCTION("""COMPUTED_VALUE"""),"sreejon.stu20191@juniv.edu")</f>
        <v>sreejon.stu20191@juniv.edu</v>
      </c>
      <c r="D56" s="3" t="str">
        <f>IFERROR(__xludf.DUMMYFUNCTION("""COMPUTED_VALUE"""),"01621382757")</f>
        <v>01621382757</v>
      </c>
      <c r="E56" s="3" t="str">
        <f>IFERROR(__xludf.DUMMYFUNCTION("""COMPUTED_VALUE"""),"M")</f>
        <v>M</v>
      </c>
      <c r="F56" s="3">
        <v>555.0</v>
      </c>
    </row>
    <row r="57">
      <c r="A57" s="3" t="str">
        <f>IFERROR(__xludf.DUMMYFUNCTION("""COMPUTED_VALUE"""),"DGI7HNFM7D")</f>
        <v>DGI7HNFM7D</v>
      </c>
      <c r="B57" s="3" t="str">
        <f>IFERROR(__xludf.DUMMYFUNCTION("""COMPUTED_VALUE"""),"Fahmida Sultana Tamanna")</f>
        <v>Fahmida Sultana Tamanna</v>
      </c>
      <c r="C57" s="3" t="str">
        <f>IFERROR(__xludf.DUMMYFUNCTION("""COMPUTED_VALUE"""),"fsultanatamanna@gmail.com")</f>
        <v>fsultanatamanna@gmail.com</v>
      </c>
      <c r="D57" s="3" t="str">
        <f>IFERROR(__xludf.DUMMYFUNCTION("""COMPUTED_VALUE"""),"+880 17 789 31591")</f>
        <v>+880 17 789 31591</v>
      </c>
      <c r="E57" s="3" t="str">
        <f>IFERROR(__xludf.DUMMYFUNCTION("""COMPUTED_VALUE"""),"L")</f>
        <v>L</v>
      </c>
      <c r="F57" s="3">
        <v>556.0</v>
      </c>
    </row>
    <row r="58">
      <c r="A58" s="3" t="str">
        <f>IFERROR(__xludf.DUMMYFUNCTION("""COMPUTED_VALUE"""),"DGI5HNIACF")</f>
        <v>DGI5HNIACF</v>
      </c>
      <c r="B58" s="3" t="str">
        <f>IFERROR(__xludf.DUMMYFUNCTION("""COMPUTED_VALUE"""),"Mushfiqur Rahman Sarker ")</f>
        <v>Mushfiqur Rahman Sarker </v>
      </c>
      <c r="C58" s="3" t="str">
        <f>IFERROR(__xludf.DUMMYFUNCTION("""COMPUTED_VALUE"""),"mushfiqurasif2004@gmail.com")</f>
        <v>mushfiqurasif2004@gmail.com</v>
      </c>
      <c r="D58" s="3" t="str">
        <f>IFERROR(__xludf.DUMMYFUNCTION("""COMPUTED_VALUE"""),"01754662206")</f>
        <v>01754662206</v>
      </c>
      <c r="E58" s="3" t="str">
        <f>IFERROR(__xludf.DUMMYFUNCTION("""COMPUTED_VALUE"""),"L")</f>
        <v>L</v>
      </c>
      <c r="F58" s="3">
        <v>557.0</v>
      </c>
    </row>
    <row r="59">
      <c r="A59" s="3" t="str">
        <f>IFERROR(__xludf.DUMMYFUNCTION("""COMPUTED_VALUE"""),"Cash will be given")</f>
        <v>Cash will be given</v>
      </c>
      <c r="B59" s="3" t="str">
        <f>IFERROR(__xludf.DUMMYFUNCTION("""COMPUTED_VALUE"""),"MD Mehedi Hasan Sojib ")</f>
        <v>MD Mehedi Hasan Sojib </v>
      </c>
      <c r="C59" s="3" t="str">
        <f>IFERROR(__xludf.DUMMYFUNCTION("""COMPUTED_VALUE"""),"sojib.mhs@gmail.com")</f>
        <v>sojib.mhs@gmail.com</v>
      </c>
      <c r="D59" s="3" t="str">
        <f>IFERROR(__xludf.DUMMYFUNCTION("""COMPUTED_VALUE"""),"01712170805")</f>
        <v>01712170805</v>
      </c>
      <c r="E59" s="3" t="str">
        <f>IFERROR(__xludf.DUMMYFUNCTION("""COMPUTED_VALUE"""),"XL")</f>
        <v>XL</v>
      </c>
      <c r="F59" s="3">
        <v>558.0</v>
      </c>
    </row>
    <row r="60">
      <c r="A60" s="3" t="str">
        <f>IFERROR(__xludf.DUMMYFUNCTION("""COMPUTED_VALUE"""),"DGI1HNX765")</f>
        <v>DGI1HNX765</v>
      </c>
      <c r="B60" s="3" t="str">
        <f>IFERROR(__xludf.DUMMYFUNCTION("""COMPUTED_VALUE"""),"Abdullah Mohammad Sorfuddin ")</f>
        <v>Abdullah Mohammad Sorfuddin </v>
      </c>
      <c r="C60" s="3" t="str">
        <f>IFERROR(__xludf.DUMMYFUNCTION("""COMPUTED_VALUE"""),"Sorfu2007@gmail.com")</f>
        <v>Sorfu2007@gmail.com</v>
      </c>
      <c r="D60" s="3" t="str">
        <f>IFERROR(__xludf.DUMMYFUNCTION("""COMPUTED_VALUE"""),"01620527180")</f>
        <v>01620527180</v>
      </c>
      <c r="E60" s="3" t="str">
        <f>IFERROR(__xludf.DUMMYFUNCTION("""COMPUTED_VALUE"""),"M")</f>
        <v>M</v>
      </c>
      <c r="F60" s="3">
        <v>559.0</v>
      </c>
    </row>
    <row r="61">
      <c r="A61" s="3" t="str">
        <f>IFERROR(__xludf.DUMMYFUNCTION("""COMPUTED_VALUE"""),"DGI8HNY5RM")</f>
        <v>DGI8HNY5RM</v>
      </c>
      <c r="B61" s="3" t="str">
        <f>IFERROR(__xludf.DUMMYFUNCTION("""COMPUTED_VALUE"""),"MD. ZAHIDUL ISLAM")</f>
        <v>MD. ZAHIDUL ISLAM</v>
      </c>
      <c r="C61" s="3" t="str">
        <f>IFERROR(__xludf.DUMMYFUNCTION("""COMPUTED_VALUE"""),"zahidulislam2426@gmail.com")</f>
        <v>zahidulislam2426@gmail.com</v>
      </c>
      <c r="D61" s="3" t="str">
        <f>IFERROR(__xludf.DUMMYFUNCTION("""COMPUTED_VALUE"""),"01600176750")</f>
        <v>01600176750</v>
      </c>
      <c r="E61" s="3" t="str">
        <f>IFERROR(__xludf.DUMMYFUNCTION("""COMPUTED_VALUE"""),"M")</f>
        <v>M</v>
      </c>
      <c r="F61" s="3">
        <v>560.0</v>
      </c>
    </row>
    <row r="62">
      <c r="A62" s="3" t="str">
        <f>IFERROR(__xludf.DUMMYFUNCTION("""COMPUTED_VALUE"""),"DGI8HOELE8")</f>
        <v>DGI8HOELE8</v>
      </c>
      <c r="B62" s="3" t="str">
        <f>IFERROR(__xludf.DUMMYFUNCTION("""COMPUTED_VALUE"""),"Mahfuza Fariha")</f>
        <v>Mahfuza Fariha</v>
      </c>
      <c r="C62" s="3" t="str">
        <f>IFERROR(__xludf.DUMMYFUNCTION("""COMPUTED_VALUE"""),"farihamun17@gmail.com")</f>
        <v>farihamun17@gmail.com</v>
      </c>
      <c r="D62" s="3" t="str">
        <f>IFERROR(__xludf.DUMMYFUNCTION("""COMPUTED_VALUE"""),"01927431897")</f>
        <v>01927431897</v>
      </c>
      <c r="E62" s="3" t="str">
        <f>IFERROR(__xludf.DUMMYFUNCTION("""COMPUTED_VALUE"""),"S")</f>
        <v>S</v>
      </c>
      <c r="F62" s="3">
        <v>561.0</v>
      </c>
    </row>
    <row r="63">
      <c r="A63" s="3" t="str">
        <f>IFERROR(__xludf.DUMMYFUNCTION("""COMPUTED_VALUE"""),"Cash")</f>
        <v>Cash</v>
      </c>
      <c r="B63" s="3" t="str">
        <f>IFERROR(__xludf.DUMMYFUNCTION("""COMPUTED_VALUE"""),"Noman Bin Harun ")</f>
        <v>Noman Bin Harun </v>
      </c>
      <c r="C63" s="3" t="str">
        <f>IFERROR(__xludf.DUMMYFUNCTION("""COMPUTED_VALUE"""),"nomanbinharun02@gmail.com")</f>
        <v>nomanbinharun02@gmail.com</v>
      </c>
      <c r="D63" s="3" t="str">
        <f>IFERROR(__xludf.DUMMYFUNCTION("""COMPUTED_VALUE"""),"01894344123")</f>
        <v>01894344123</v>
      </c>
      <c r="E63" s="3" t="str">
        <f>IFERROR(__xludf.DUMMYFUNCTION("""COMPUTED_VALUE"""),"L")</f>
        <v>L</v>
      </c>
      <c r="F63" s="3">
        <v>562.0</v>
      </c>
    </row>
    <row r="64">
      <c r="A64" s="3" t="str">
        <f>IFERROR(__xludf.DUMMYFUNCTION("""COMPUTED_VALUE"""),"DGI8HOH4O2")</f>
        <v>DGI8HOH4O2</v>
      </c>
      <c r="B64" s="3" t="str">
        <f>IFERROR(__xludf.DUMMYFUNCTION("""COMPUTED_VALUE"""),"Pritom Roy")</f>
        <v>Pritom Roy</v>
      </c>
      <c r="C64" s="3" t="str">
        <f>IFERROR(__xludf.DUMMYFUNCTION("""COMPUTED_VALUE"""),"pritomndc03@gmail.com")</f>
        <v>pritomndc03@gmail.com</v>
      </c>
      <c r="D64" s="3" t="str">
        <f>IFERROR(__xludf.DUMMYFUNCTION("""COMPUTED_VALUE"""),"01862992555")</f>
        <v>01862992555</v>
      </c>
      <c r="E64" s="3" t="str">
        <f>IFERROR(__xludf.DUMMYFUNCTION("""COMPUTED_VALUE"""),"XL")</f>
        <v>XL</v>
      </c>
      <c r="F64" s="3">
        <v>563.0</v>
      </c>
    </row>
    <row r="65">
      <c r="A65" s="3" t="str">
        <f>IFERROR(__xludf.DUMMYFUNCTION("""COMPUTED_VALUE"""),"DGI3HON6XP")</f>
        <v>DGI3HON6XP</v>
      </c>
      <c r="B65" s="3" t="str">
        <f>IFERROR(__xludf.DUMMYFUNCTION("""COMPUTED_VALUE"""),"MD Ebrahim Khalil Ullah")</f>
        <v>MD Ebrahim Khalil Ullah</v>
      </c>
      <c r="C65" s="3" t="str">
        <f>IFERROR(__xludf.DUMMYFUNCTION("""COMPUTED_VALUE"""),"ebrahimkhalilullahh@gmail.com")</f>
        <v>ebrahimkhalilullahh@gmail.com</v>
      </c>
      <c r="D65" s="3" t="str">
        <f>IFERROR(__xludf.DUMMYFUNCTION("""COMPUTED_VALUE"""),"01727452704")</f>
        <v>01727452704</v>
      </c>
      <c r="E65" s="3" t="str">
        <f>IFERROR(__xludf.DUMMYFUNCTION("""COMPUTED_VALUE"""),"XL")</f>
        <v>XL</v>
      </c>
      <c r="F65" s="3">
        <v>564.0</v>
      </c>
    </row>
    <row r="66">
      <c r="A66" s="3" t="str">
        <f>IFERROR(__xludf.DUMMYFUNCTION("""COMPUTED_VALUE"""),"DGI6HOMMO2")</f>
        <v>DGI6HOMMO2</v>
      </c>
      <c r="B66" s="3" t="str">
        <f>IFERROR(__xludf.DUMMYFUNCTION("""COMPUTED_VALUE"""),"Samuel Bawm ")</f>
        <v>Samuel Bawm </v>
      </c>
      <c r="C66" s="3" t="str">
        <f>IFERROR(__xludf.DUMMYFUNCTION("""COMPUTED_VALUE"""),"samuelbawm2@gmail.com")</f>
        <v>samuelbawm2@gmail.com</v>
      </c>
      <c r="D66" s="3" t="str">
        <f>IFERROR(__xludf.DUMMYFUNCTION("""COMPUTED_VALUE"""),"01818256951")</f>
        <v>01818256951</v>
      </c>
      <c r="E66" s="3" t="str">
        <f>IFERROR(__xludf.DUMMYFUNCTION("""COMPUTED_VALUE"""),"L ")</f>
        <v>L </v>
      </c>
      <c r="F66" s="3">
        <v>565.0</v>
      </c>
    </row>
    <row r="67">
      <c r="A67" s="3" t="str">
        <f>IFERROR(__xludf.DUMMYFUNCTION("""COMPUTED_VALUE"""),"DGI9HP8GAD")</f>
        <v>DGI9HP8GAD</v>
      </c>
      <c r="B67" s="3" t="str">
        <f>IFERROR(__xludf.DUMMYFUNCTION("""COMPUTED_VALUE"""),"Tamim Rahman ")</f>
        <v>Tamim Rahman </v>
      </c>
      <c r="C67" s="3" t="str">
        <f>IFERROR(__xludf.DUMMYFUNCTION("""COMPUTED_VALUE"""),"tamimrahman798@gmail.com")</f>
        <v>tamimrahman798@gmail.com</v>
      </c>
      <c r="D67" s="3" t="str">
        <f>IFERROR(__xludf.DUMMYFUNCTION("""COMPUTED_VALUE"""),"01969373584")</f>
        <v>01969373584</v>
      </c>
      <c r="E67" s="3" t="str">
        <f>IFERROR(__xludf.DUMMYFUNCTION("""COMPUTED_VALUE"""),"XL")</f>
        <v>XL</v>
      </c>
      <c r="F67" s="3">
        <v>566.0</v>
      </c>
    </row>
    <row r="68">
      <c r="A68" s="3" t="str">
        <f>IFERROR(__xludf.DUMMYFUNCTION("""COMPUTED_VALUE"""),"DGI7HP91VT")</f>
        <v>DGI7HP91VT</v>
      </c>
      <c r="B68" s="3" t="str">
        <f>IFERROR(__xludf.DUMMYFUNCTION("""COMPUTED_VALUE"""),"Ifti")</f>
        <v>Ifti</v>
      </c>
      <c r="C68" s="3" t="str">
        <f>IFERROR(__xludf.DUMMYFUNCTION("""COMPUTED_VALUE"""),"iftekharhabib2020@gmail.com")</f>
        <v>iftekharhabib2020@gmail.com</v>
      </c>
      <c r="D68" s="3" t="str">
        <f>IFERROR(__xludf.DUMMYFUNCTION("""COMPUTED_VALUE"""),"01818668311")</f>
        <v>01818668311</v>
      </c>
      <c r="E68" s="3" t="str">
        <f>IFERROR(__xludf.DUMMYFUNCTION("""COMPUTED_VALUE"""),"M")</f>
        <v>M</v>
      </c>
      <c r="F68" s="3">
        <v>567.0</v>
      </c>
    </row>
    <row r="69">
      <c r="A69" s="3" t="str">
        <f>IFERROR(__xludf.DUMMYFUNCTION("""COMPUTED_VALUE"""),"DGI0HPA3FU")</f>
        <v>DGI0HPA3FU</v>
      </c>
      <c r="B69" s="3" t="str">
        <f>IFERROR(__xludf.DUMMYFUNCTION("""COMPUTED_VALUE"""),"JONAID HASAN ")</f>
        <v>JONAID HASAN </v>
      </c>
      <c r="C69" s="3" t="str">
        <f>IFERROR(__xludf.DUMMYFUNCTION("""COMPUTED_VALUE"""),"hasanjonaid721@gmail.com")</f>
        <v>hasanjonaid721@gmail.com</v>
      </c>
      <c r="D69" s="3" t="str">
        <f>IFERROR(__xludf.DUMMYFUNCTION("""COMPUTED_VALUE"""),"01315563845")</f>
        <v>01315563845</v>
      </c>
      <c r="E69" s="3" t="str">
        <f>IFERROR(__xludf.DUMMYFUNCTION("""COMPUTED_VALUE"""),"L")</f>
        <v>L</v>
      </c>
      <c r="F69" s="3">
        <v>568.0</v>
      </c>
    </row>
    <row r="70">
      <c r="A70" s="3" t="str">
        <f>IFERROR(__xludf.DUMMYFUNCTION("""COMPUTED_VALUE"""),"DGI9HQ0ZGF")</f>
        <v>DGI9HQ0ZGF</v>
      </c>
      <c r="B70" s="3" t="str">
        <f>IFERROR(__xludf.DUMMYFUNCTION("""COMPUTED_VALUE"""),"MD Khaleduzzaman Fahim ")</f>
        <v>MD Khaleduzzaman Fahim </v>
      </c>
      <c r="C70" s="3" t="str">
        <f>IFERROR(__xludf.DUMMYFUNCTION("""COMPUTED_VALUE"""),"kzfahim0812@gmail.com")</f>
        <v>kzfahim0812@gmail.com</v>
      </c>
      <c r="D70" s="3" t="str">
        <f>IFERROR(__xludf.DUMMYFUNCTION("""COMPUTED_VALUE"""),"01733884902")</f>
        <v>01733884902</v>
      </c>
      <c r="E70" s="3" t="str">
        <f>IFERROR(__xludf.DUMMYFUNCTION("""COMPUTED_VALUE"""),"XL")</f>
        <v>XL</v>
      </c>
      <c r="F70" s="3">
        <v>569.0</v>
      </c>
    </row>
    <row r="71">
      <c r="A71" s="3" t="str">
        <f>IFERROR(__xludf.DUMMYFUNCTION("""COMPUTED_VALUE"""),"DGI2HR8NM0")</f>
        <v>DGI2HR8NM0</v>
      </c>
      <c r="B71" s="3" t="str">
        <f>IFERROR(__xludf.DUMMYFUNCTION("""COMPUTED_VALUE"""),"S M Joynul Hossain Ayon ")</f>
        <v>S M Joynul Hossain Ayon </v>
      </c>
      <c r="C71" s="3" t="str">
        <f>IFERROR(__xludf.DUMMYFUNCTION("""COMPUTED_VALUE"""),"smayon0639@gmail.com")</f>
        <v>smayon0639@gmail.com</v>
      </c>
      <c r="D71" s="3" t="str">
        <f>IFERROR(__xludf.DUMMYFUNCTION("""COMPUTED_VALUE"""),"01753764607")</f>
        <v>01753764607</v>
      </c>
      <c r="E71" s="3" t="str">
        <f>IFERROR(__xludf.DUMMYFUNCTION("""COMPUTED_VALUE"""),"XL")</f>
        <v>XL</v>
      </c>
      <c r="F71" s="3">
        <v>570.0</v>
      </c>
    </row>
    <row r="72">
      <c r="A72" s="3" t="str">
        <f>IFERROR(__xludf.DUMMYFUNCTION("""COMPUTED_VALUE"""),"DGI7HROZOF")</f>
        <v>DGI7HROZOF</v>
      </c>
      <c r="B72" s="3" t="str">
        <f>IFERROR(__xludf.DUMMYFUNCTION("""COMPUTED_VALUE"""),"Drubo Eash Dip")</f>
        <v>Drubo Eash Dip</v>
      </c>
      <c r="C72" s="3" t="str">
        <f>IFERROR(__xludf.DUMMYFUNCTION("""COMPUTED_VALUE"""),"druboeash75@gmail.com")</f>
        <v>druboeash75@gmail.com</v>
      </c>
      <c r="D72" s="3" t="str">
        <f>IFERROR(__xludf.DUMMYFUNCTION("""COMPUTED_VALUE"""),"01716187324")</f>
        <v>01716187324</v>
      </c>
      <c r="E72" s="3" t="str">
        <f>IFERROR(__xludf.DUMMYFUNCTION("""COMPUTED_VALUE"""),"L")</f>
        <v>L</v>
      </c>
      <c r="F72" s="3">
        <v>571.0</v>
      </c>
    </row>
    <row r="73">
      <c r="A73" s="3" t="str">
        <f>IFERROR(__xludf.DUMMYFUNCTION("""COMPUTED_VALUE"""),"DGI4HSO99W")</f>
        <v>DGI4HSO99W</v>
      </c>
      <c r="B73" s="3" t="str">
        <f>IFERROR(__xludf.DUMMYFUNCTION("""COMPUTED_VALUE"""),"Maimuna Khatun ")</f>
        <v>Maimuna Khatun </v>
      </c>
      <c r="C73" s="3" t="str">
        <f>IFERROR(__xludf.DUMMYFUNCTION("""COMPUTED_VALUE"""),"maimunamisty291@gmail.com")</f>
        <v>maimunamisty291@gmail.com</v>
      </c>
      <c r="D73" s="3" t="str">
        <f>IFERROR(__xludf.DUMMYFUNCTION("""COMPUTED_VALUE"""),"01972574342")</f>
        <v>01972574342</v>
      </c>
      <c r="E73" s="3" t="str">
        <f>IFERROR(__xludf.DUMMYFUNCTION("""COMPUTED_VALUE"""),"L")</f>
        <v>L</v>
      </c>
      <c r="F73" s="3">
        <v>572.0</v>
      </c>
    </row>
    <row r="74">
      <c r="A74" s="3" t="str">
        <f>IFERROR(__xludf.DUMMYFUNCTION("""COMPUTED_VALUE"""),"DGI0HTJUJG")</f>
        <v>DGI0HTJUJG</v>
      </c>
      <c r="B74" s="3" t="str">
        <f>IFERROR(__xludf.DUMMYFUNCTION("""COMPUTED_VALUE"""),"Asim Paul")</f>
        <v>Asim Paul</v>
      </c>
      <c r="C74" s="3" t="str">
        <f>IFERROR(__xludf.DUMMYFUNCTION("""COMPUTED_VALUE"""),"asimpaul.network@gmail.com")</f>
        <v>asimpaul.network@gmail.com</v>
      </c>
      <c r="D74" s="3" t="str">
        <f>IFERROR(__xludf.DUMMYFUNCTION("""COMPUTED_VALUE"""),"01784718653")</f>
        <v>01784718653</v>
      </c>
      <c r="E74" s="3" t="str">
        <f>IFERROR(__xludf.DUMMYFUNCTION("""COMPUTED_VALUE"""),"L")</f>
        <v>L</v>
      </c>
      <c r="F74" s="3">
        <v>573.0</v>
      </c>
    </row>
    <row r="75">
      <c r="A75" s="3" t="str">
        <f>IFERROR(__xludf.DUMMYFUNCTION("""COMPUTED_VALUE"""),"DGI3HSZARV")</f>
        <v>DGI3HSZARV</v>
      </c>
      <c r="B75" s="3" t="str">
        <f>IFERROR(__xludf.DUMMYFUNCTION("""COMPUTED_VALUE"""),"Sabbir Ahmed")</f>
        <v>Sabbir Ahmed</v>
      </c>
      <c r="C75" s="3" t="str">
        <f>IFERROR(__xludf.DUMMYFUNCTION("""COMPUTED_VALUE"""),"sabbirahmedawfe@gmail.com")</f>
        <v>sabbirahmedawfe@gmail.com</v>
      </c>
      <c r="D75" s="3" t="str">
        <f>IFERROR(__xludf.DUMMYFUNCTION("""COMPUTED_VALUE"""),"01978569769")</f>
        <v>01978569769</v>
      </c>
      <c r="E75" s="3" t="str">
        <f>IFERROR(__xludf.DUMMYFUNCTION("""COMPUTED_VALUE"""),"XL")</f>
        <v>XL</v>
      </c>
      <c r="F75" s="3">
        <v>574.0</v>
      </c>
    </row>
    <row r="76">
      <c r="A76" s="3" t="str">
        <f>IFERROR(__xludf.DUMMYFUNCTION("""COMPUTED_VALUE"""),"DGI9HTR8XZ")</f>
        <v>DGI9HTR8XZ</v>
      </c>
      <c r="B76" s="3" t="str">
        <f>IFERROR(__xludf.DUMMYFUNCTION("""COMPUTED_VALUE"""),"A S M Zinnurain Swadhin")</f>
        <v>A S M Zinnurain Swadhin</v>
      </c>
      <c r="C76" s="3" t="str">
        <f>IFERROR(__xludf.DUMMYFUNCTION("""COMPUTED_VALUE"""),"asmzinnurain2018@gmail.com")</f>
        <v>asmzinnurain2018@gmail.com</v>
      </c>
      <c r="D76" s="3" t="str">
        <f>IFERROR(__xludf.DUMMYFUNCTION("""COMPUTED_VALUE"""),"01522112866")</f>
        <v>01522112866</v>
      </c>
      <c r="E76" s="3" t="str">
        <f>IFERROR(__xludf.DUMMYFUNCTION("""COMPUTED_VALUE"""),"XL")</f>
        <v>XL</v>
      </c>
      <c r="F76" s="3">
        <v>575.0</v>
      </c>
    </row>
    <row r="77">
      <c r="A77" s="3" t="str">
        <f>IFERROR(__xludf.DUMMYFUNCTION("""COMPUTED_VALUE"""),"DGI5HTSHFT")</f>
        <v>DGI5HTSHFT</v>
      </c>
      <c r="B77" s="3" t="str">
        <f>IFERROR(__xludf.DUMMYFUNCTION("""COMPUTED_VALUE"""),"Md. Jonayed hasan Mahedi ")</f>
        <v>Md. Jonayed hasan Mahedi </v>
      </c>
      <c r="C77" s="3" t="str">
        <f>IFERROR(__xludf.DUMMYFUNCTION("""COMPUTED_VALUE"""),"jonayedhasanmehedi@gmail.com")</f>
        <v>jonayedhasanmehedi@gmail.com</v>
      </c>
      <c r="D77" s="3" t="str">
        <f>IFERROR(__xludf.DUMMYFUNCTION("""COMPUTED_VALUE"""),"01647536020")</f>
        <v>01647536020</v>
      </c>
      <c r="E77" s="3" t="str">
        <f>IFERROR(__xludf.DUMMYFUNCTION("""COMPUTED_VALUE"""),"2XL")</f>
        <v>2XL</v>
      </c>
      <c r="F77" s="3">
        <v>576.0</v>
      </c>
    </row>
    <row r="78">
      <c r="A78" s="3" t="str">
        <f>IFERROR(__xludf.DUMMYFUNCTION("""COMPUTED_VALUE"""),"DGI6HTVSRE")</f>
        <v>DGI6HTVSRE</v>
      </c>
      <c r="B78" s="3" t="str">
        <f>IFERROR(__xludf.DUMMYFUNCTION("""COMPUTED_VALUE"""),"Moien Jahan Olive")</f>
        <v>Moien Jahan Olive</v>
      </c>
      <c r="C78" s="3" t="str">
        <f>IFERROR(__xludf.DUMMYFUNCTION("""COMPUTED_VALUE"""),"moien.53@geography-juniv.edu.bd")</f>
        <v>moien.53@geography-juniv.edu.bd</v>
      </c>
      <c r="D78" s="3" t="str">
        <f>IFERROR(__xludf.DUMMYFUNCTION("""COMPUTED_VALUE"""),"01641946946")</f>
        <v>01641946946</v>
      </c>
      <c r="E78" s="3" t="str">
        <f>IFERROR(__xludf.DUMMYFUNCTION("""COMPUTED_VALUE"""),"2XL")</f>
        <v>2XL</v>
      </c>
      <c r="F78" s="3">
        <v>577.0</v>
      </c>
    </row>
    <row r="79">
      <c r="A79" s="3" t="str">
        <f>IFERROR(__xludf.DUMMYFUNCTION("""COMPUTED_VALUE"""),"DGI1HULW29")</f>
        <v>DGI1HULW29</v>
      </c>
      <c r="B79" s="3" t="str">
        <f>IFERROR(__xludf.DUMMYFUNCTION("""COMPUTED_VALUE"""),"Md. Ramij Uddin Raja ")</f>
        <v>Md. Ramij Uddin Raja </v>
      </c>
      <c r="C79" s="3" t="str">
        <f>IFERROR(__xludf.DUMMYFUNCTION("""COMPUTED_VALUE"""),"ramijraja2901@gmail.com")</f>
        <v>ramijraja2901@gmail.com</v>
      </c>
      <c r="D79" s="3" t="str">
        <f>IFERROR(__xludf.DUMMYFUNCTION("""COMPUTED_VALUE"""),"01887484642")</f>
        <v>01887484642</v>
      </c>
      <c r="E79" s="3" t="str">
        <f>IFERROR(__xludf.DUMMYFUNCTION("""COMPUTED_VALUE"""),"L")</f>
        <v>L</v>
      </c>
      <c r="F79" s="3">
        <v>578.0</v>
      </c>
    </row>
    <row r="80">
      <c r="A80" s="3" t="str">
        <f>IFERROR(__xludf.DUMMYFUNCTION("""COMPUTED_VALUE"""),"DGI9HUZQAB")</f>
        <v>DGI9HUZQAB</v>
      </c>
      <c r="B80" s="3" t="str">
        <f>IFERROR(__xludf.DUMMYFUNCTION("""COMPUTED_VALUE"""),"Ahmad Abdullah")</f>
        <v>Ahmad Abdullah</v>
      </c>
      <c r="C80" s="3" t="str">
        <f>IFERROR(__xludf.DUMMYFUNCTION("""COMPUTED_VALUE"""),"ahmad.abdullah.3199@gmail.com")</f>
        <v>ahmad.abdullah.3199@gmail.com</v>
      </c>
      <c r="D80" s="3" t="str">
        <f>IFERROR(__xludf.DUMMYFUNCTION("""COMPUTED_VALUE"""),"01341613171")</f>
        <v>01341613171</v>
      </c>
      <c r="E80" s="3" t="str">
        <f>IFERROR(__xludf.DUMMYFUNCTION("""COMPUTED_VALUE"""),"2XL")</f>
        <v>2XL</v>
      </c>
      <c r="F80" s="3">
        <v>579.0</v>
      </c>
    </row>
    <row r="81">
      <c r="A81" s="3" t="str">
        <f>IFERROR(__xludf.DUMMYFUNCTION("""COMPUTED_VALUE"""),"47")</f>
        <v>47</v>
      </c>
      <c r="B81" s="3" t="str">
        <f>IFERROR(__xludf.DUMMYFUNCTION("""COMPUTED_VALUE"""),"Tanvir Ahmed Shuvo ")</f>
        <v>Tanvir Ahmed Shuvo </v>
      </c>
      <c r="C81" s="3" t="str">
        <f>IFERROR(__xludf.DUMMYFUNCTION("""COMPUTED_VALUE"""),"tanvirahmedshuvoju@gmail.com")</f>
        <v>tanvirahmedshuvoju@gmail.com</v>
      </c>
      <c r="D81" s="3" t="str">
        <f>IFERROR(__xludf.DUMMYFUNCTION("""COMPUTED_VALUE"""),"01859874226")</f>
        <v>01859874226</v>
      </c>
      <c r="E81" s="3" t="str">
        <f>IFERROR(__xludf.DUMMYFUNCTION("""COMPUTED_VALUE"""),"2XL")</f>
        <v>2XL</v>
      </c>
      <c r="F81" s="3">
        <v>580.0</v>
      </c>
    </row>
    <row r="82">
      <c r="A82" s="3" t="str">
        <f>IFERROR(__xludf.DUMMYFUNCTION("""COMPUTED_VALUE"""),"DGI2HVJRIA")</f>
        <v>DGI2HVJRIA</v>
      </c>
      <c r="B82" s="3" t="str">
        <f>IFERROR(__xludf.DUMMYFUNCTION("""COMPUTED_VALUE"""),"Tanvir Ahmed Shuvo ")</f>
        <v>Tanvir Ahmed Shuvo </v>
      </c>
      <c r="C82" s="3" t="str">
        <f>IFERROR(__xludf.DUMMYFUNCTION("""COMPUTED_VALUE"""),"tanvirahmedshuvoju@gmail.com")</f>
        <v>tanvirahmedshuvoju@gmail.com</v>
      </c>
      <c r="D82" s="3" t="str">
        <f>IFERROR(__xludf.DUMMYFUNCTION("""COMPUTED_VALUE"""),"01859874226")</f>
        <v>01859874226</v>
      </c>
      <c r="E82" s="3" t="str">
        <f>IFERROR(__xludf.DUMMYFUNCTION("""COMPUTED_VALUE"""),"2XL")</f>
        <v>2XL</v>
      </c>
      <c r="F82" s="3">
        <v>581.0</v>
      </c>
    </row>
    <row r="83">
      <c r="A83" s="3" t="str">
        <f>IFERROR(__xludf.DUMMYFUNCTION("""COMPUTED_VALUE"""),"DGI3HW5MDT")</f>
        <v>DGI3HW5MDT</v>
      </c>
      <c r="B83" s="3" t="str">
        <f>IFERROR(__xludf.DUMMYFUNCTION("""COMPUTED_VALUE"""),"Sheikh Mahabub Hasan Robin")</f>
        <v>Sheikh Mahabub Hasan Robin</v>
      </c>
      <c r="C83" s="3" t="str">
        <f>IFERROR(__xludf.DUMMYFUNCTION("""COMPUTED_VALUE"""),"s.k.mhr001@gmail.com")</f>
        <v>s.k.mhr001@gmail.com</v>
      </c>
      <c r="D83" s="3" t="str">
        <f>IFERROR(__xludf.DUMMYFUNCTION("""COMPUTED_VALUE"""),"01700640682")</f>
        <v>01700640682</v>
      </c>
      <c r="E83" s="3" t="str">
        <f>IFERROR(__xludf.DUMMYFUNCTION("""COMPUTED_VALUE"""),"2XL")</f>
        <v>2XL</v>
      </c>
      <c r="F83" s="3">
        <v>582.0</v>
      </c>
    </row>
    <row r="84">
      <c r="A84" s="3" t="str">
        <f>IFERROR(__xludf.DUMMYFUNCTION("""COMPUTED_VALUE"""),"DGI9HWANKH")</f>
        <v>DGI9HWANKH</v>
      </c>
      <c r="B84" s="3" t="str">
        <f>IFERROR(__xludf.DUMMYFUNCTION("""COMPUTED_VALUE"""),"KABBO")</f>
        <v>KABBO</v>
      </c>
      <c r="C84" s="3" t="str">
        <f>IFERROR(__xludf.DUMMYFUNCTION("""COMPUTED_VALUE"""),"d.mkabbomondal@gmail.com")</f>
        <v>d.mkabbomondal@gmail.com</v>
      </c>
      <c r="D84" s="3" t="str">
        <f>IFERROR(__xludf.DUMMYFUNCTION("""COMPUTED_VALUE"""),"01787773063")</f>
        <v>01787773063</v>
      </c>
      <c r="E84" s="3" t="str">
        <f>IFERROR(__xludf.DUMMYFUNCTION("""COMPUTED_VALUE"""),"L")</f>
        <v>L</v>
      </c>
      <c r="F84" s="3">
        <v>583.0</v>
      </c>
    </row>
    <row r="85">
      <c r="A85" s="3" t="str">
        <f>IFERROR(__xludf.DUMMYFUNCTION("""COMPUTED_VALUE"""),"DGI1HWDN3N")</f>
        <v>DGI1HWDN3N</v>
      </c>
      <c r="B85" s="3" t="str">
        <f>IFERROR(__xludf.DUMMYFUNCTION("""COMPUTED_VALUE"""),"EASIN MIAH")</f>
        <v>EASIN MIAH</v>
      </c>
      <c r="C85" s="3" t="str">
        <f>IFERROR(__xludf.DUMMYFUNCTION("""COMPUTED_VALUE"""),"sameolahamed@gmail.com")</f>
        <v>sameolahamed@gmail.com</v>
      </c>
      <c r="D85" s="3" t="str">
        <f>IFERROR(__xludf.DUMMYFUNCTION("""COMPUTED_VALUE"""),"01640556539")</f>
        <v>01640556539</v>
      </c>
      <c r="E85" s="3" t="str">
        <f>IFERROR(__xludf.DUMMYFUNCTION("""COMPUTED_VALUE"""),"XL")</f>
        <v>XL</v>
      </c>
      <c r="F85" s="3">
        <v>584.0</v>
      </c>
    </row>
    <row r="86">
      <c r="A86" s="3" t="str">
        <f>IFERROR(__xludf.DUMMYFUNCTION("""COMPUTED_VALUE"""),"DGI8HWD0RY")</f>
        <v>DGI8HWD0RY</v>
      </c>
      <c r="B86" s="3" t="str">
        <f>IFERROR(__xludf.DUMMYFUNCTION("""COMPUTED_VALUE"""),"Md Nayeem Hossain ")</f>
        <v>Md Nayeem Hossain </v>
      </c>
      <c r="C86" s="3" t="str">
        <f>IFERROR(__xludf.DUMMYFUNCTION("""COMPUTED_VALUE"""),"mdnayeemhossain939@gmail.com")</f>
        <v>mdnayeemhossain939@gmail.com</v>
      </c>
      <c r="D86" s="3" t="str">
        <f>IFERROR(__xludf.DUMMYFUNCTION("""COMPUTED_VALUE"""),"01305342585")</f>
        <v>01305342585</v>
      </c>
      <c r="E86" s="3" t="str">
        <f>IFERROR(__xludf.DUMMYFUNCTION("""COMPUTED_VALUE"""),"M")</f>
        <v>M</v>
      </c>
      <c r="F86" s="3">
        <v>585.0</v>
      </c>
    </row>
    <row r="87">
      <c r="A87" s="3" t="str">
        <f>IFERROR(__xludf.DUMMYFUNCTION("""COMPUTED_VALUE"""),"DGI4HWICR8")</f>
        <v>DGI4HWICR8</v>
      </c>
      <c r="B87" s="3" t="str">
        <f>IFERROR(__xludf.DUMMYFUNCTION("""COMPUTED_VALUE"""),"MD NAHIDUL HAQUE RABBI ")</f>
        <v>MD NAHIDUL HAQUE RABBI </v>
      </c>
      <c r="C87" s="3" t="str">
        <f>IFERROR(__xludf.DUMMYFUNCTION("""COMPUTED_VALUE"""),"nahidulhaque95@gmail.com")</f>
        <v>nahidulhaque95@gmail.com</v>
      </c>
      <c r="D87" s="3" t="str">
        <f>IFERROR(__xludf.DUMMYFUNCTION("""COMPUTED_VALUE"""),"01799382737")</f>
        <v>01799382737</v>
      </c>
      <c r="E87" s="3" t="str">
        <f>IFERROR(__xludf.DUMMYFUNCTION("""COMPUTED_VALUE"""),"2XL")</f>
        <v>2XL</v>
      </c>
      <c r="F87" s="3">
        <v>586.0</v>
      </c>
    </row>
    <row r="88">
      <c r="A88" s="3" t="str">
        <f>IFERROR(__xludf.DUMMYFUNCTION("""COMPUTED_VALUE"""),"DGI1HWKWB9")</f>
        <v>DGI1HWKWB9</v>
      </c>
      <c r="B88" s="3" t="str">
        <f>IFERROR(__xludf.DUMMYFUNCTION("""COMPUTED_VALUE"""),"Maliha Laheen ")</f>
        <v>Maliha Laheen </v>
      </c>
      <c r="C88" s="3" t="str">
        <f>IFERROR(__xludf.DUMMYFUNCTION("""COMPUTED_VALUE"""),"20240659104laheen@juniv.edu")</f>
        <v>20240659104laheen@juniv.edu</v>
      </c>
      <c r="D88" s="3" t="str">
        <f>IFERROR(__xludf.DUMMYFUNCTION("""COMPUTED_VALUE"""),"01618576663")</f>
        <v>01618576663</v>
      </c>
      <c r="E88" s="3" t="str">
        <f>IFERROR(__xludf.DUMMYFUNCTION("""COMPUTED_VALUE"""),"3XL")</f>
        <v>3XL</v>
      </c>
      <c r="F88" s="3">
        <v>587.0</v>
      </c>
    </row>
    <row r="89">
      <c r="A89" s="3" t="str">
        <f>IFERROR(__xludf.DUMMYFUNCTION("""COMPUTED_VALUE"""),"DGI5HWPJYD")</f>
        <v>DGI5HWPJYD</v>
      </c>
      <c r="B89" s="3" t="str">
        <f>IFERROR(__xludf.DUMMYFUNCTION("""COMPUTED_VALUE"""),"Sudipta Paul Durjoy ")</f>
        <v>Sudipta Paul Durjoy </v>
      </c>
      <c r="C89" s="3" t="str">
        <f>IFERROR(__xludf.DUMMYFUNCTION("""COMPUTED_VALUE"""),"spdurjoy4@gmail.com")</f>
        <v>spdurjoy4@gmail.com</v>
      </c>
      <c r="D89" s="3" t="str">
        <f>IFERROR(__xludf.DUMMYFUNCTION("""COMPUTED_VALUE"""),"01716916618")</f>
        <v>01716916618</v>
      </c>
      <c r="E89" s="3" t="str">
        <f>IFERROR(__xludf.DUMMYFUNCTION("""COMPUTED_VALUE"""),"L")</f>
        <v>L</v>
      </c>
      <c r="F89" s="3">
        <v>588.0</v>
      </c>
    </row>
    <row r="90">
      <c r="A90" s="3" t="str">
        <f>IFERROR(__xludf.DUMMYFUNCTION("""COMPUTED_VALUE"""),"DGI9HX3DEJ")</f>
        <v>DGI9HX3DEJ</v>
      </c>
      <c r="B90" s="3" t="str">
        <f>IFERROR(__xludf.DUMMYFUNCTION("""COMPUTED_VALUE"""),"Md. Tawhidul Islam")</f>
        <v>Md. Tawhidul Islam</v>
      </c>
      <c r="C90" s="3" t="str">
        <f>IFERROR(__xludf.DUMMYFUNCTION("""COMPUTED_VALUE"""),"tawhidulislamju52@gmail.com")</f>
        <v>tawhidulislamju52@gmail.com</v>
      </c>
      <c r="D90" s="3" t="str">
        <f>IFERROR(__xludf.DUMMYFUNCTION("""COMPUTED_VALUE"""),"01778158084")</f>
        <v>01778158084</v>
      </c>
      <c r="E90" s="3" t="str">
        <f>IFERROR(__xludf.DUMMYFUNCTION("""COMPUTED_VALUE"""),"L")</f>
        <v>L</v>
      </c>
      <c r="F90" s="3">
        <v>589.0</v>
      </c>
    </row>
    <row r="91">
      <c r="A91" s="3" t="str">
        <f>IFERROR(__xludf.DUMMYFUNCTION("""COMPUTED_VALUE"""),"DGI5HXBCSJ")</f>
        <v>DGI5HXBCSJ</v>
      </c>
      <c r="B91" s="3" t="str">
        <f>IFERROR(__xludf.DUMMYFUNCTION("""COMPUTED_VALUE"""),"Charcha Talukder ")</f>
        <v>Charcha Talukder </v>
      </c>
      <c r="C91" s="3" t="str">
        <f>IFERROR(__xludf.DUMMYFUNCTION("""COMPUTED_VALUE"""),"20240659113charcha@juniv.edu")</f>
        <v>20240659113charcha@juniv.edu</v>
      </c>
      <c r="D91" s="3" t="str">
        <f>IFERROR(__xludf.DUMMYFUNCTION("""COMPUTED_VALUE"""),"017797190223")</f>
        <v>017797190223</v>
      </c>
      <c r="E91" s="3" t="str">
        <f>IFERROR(__xludf.DUMMYFUNCTION("""COMPUTED_VALUE"""),"3xl")</f>
        <v>3xl</v>
      </c>
      <c r="F91" s="3">
        <v>590.0</v>
      </c>
    </row>
    <row r="92">
      <c r="A92" s="3" t="str">
        <f>IFERROR(__xludf.DUMMYFUNCTION("""COMPUTED_VALUE"""),"DGI2HXMAEG")</f>
        <v>DGI2HXMAEG</v>
      </c>
      <c r="B92" s="3" t="str">
        <f>IFERROR(__xludf.DUMMYFUNCTION("""COMPUTED_VALUE"""),"Muntasir Adib")</f>
        <v>Muntasir Adib</v>
      </c>
      <c r="C92" s="3" t="str">
        <f>IFERROR(__xludf.DUMMYFUNCTION("""COMPUTED_VALUE"""),"mmadib2001@gmail.com")</f>
        <v>mmadib2001@gmail.com</v>
      </c>
      <c r="D92" s="3" t="str">
        <f>IFERROR(__xludf.DUMMYFUNCTION("""COMPUTED_VALUE"""),"01722194398")</f>
        <v>01722194398</v>
      </c>
      <c r="E92" s="3" t="str">
        <f>IFERROR(__xludf.DUMMYFUNCTION("""COMPUTED_VALUE"""),"XL")</f>
        <v>XL</v>
      </c>
      <c r="F92" s="3">
        <v>591.0</v>
      </c>
    </row>
    <row r="93">
      <c r="A93" s="3" t="str">
        <f>IFERROR(__xludf.DUMMYFUNCTION("""COMPUTED_VALUE"""),"DGI0HXQG9E")</f>
        <v>DGI0HXQG9E</v>
      </c>
      <c r="B93" s="3" t="str">
        <f>IFERROR(__xludf.DUMMYFUNCTION("""COMPUTED_VALUE"""),"Nowshin Ahad ")</f>
        <v>Nowshin Ahad </v>
      </c>
      <c r="C93" s="3" t="str">
        <f>IFERROR(__xludf.DUMMYFUNCTION("""COMPUTED_VALUE"""),"nowshinahad21@gmail.com")</f>
        <v>nowshinahad21@gmail.com</v>
      </c>
      <c r="D93" s="3" t="str">
        <f>IFERROR(__xludf.DUMMYFUNCTION("""COMPUTED_VALUE"""),"01316464668")</f>
        <v>01316464668</v>
      </c>
      <c r="E93" s="3" t="str">
        <f>IFERROR(__xludf.DUMMYFUNCTION("""COMPUTED_VALUE"""),"XL ")</f>
        <v>XL </v>
      </c>
      <c r="F93" s="3">
        <v>592.0</v>
      </c>
    </row>
    <row r="94">
      <c r="A94" s="3" t="str">
        <f>IFERROR(__xludf.DUMMYFUNCTION("""COMPUTED_VALUE"""),"DGI2HXRYB0")</f>
        <v>DGI2HXRYB0</v>
      </c>
      <c r="B94" s="3" t="str">
        <f>IFERROR(__xludf.DUMMYFUNCTION("""COMPUTED_VALUE"""),"রবি")</f>
        <v>রবি</v>
      </c>
      <c r="C94" s="3" t="str">
        <f>IFERROR(__xludf.DUMMYFUNCTION("""COMPUTED_VALUE"""),"mdrobi596316@gmail.com ")</f>
        <v>mdrobi596316@gmail.com </v>
      </c>
      <c r="D94" s="3" t="str">
        <f>IFERROR(__xludf.DUMMYFUNCTION("""COMPUTED_VALUE"""),"01855506838")</f>
        <v>01855506838</v>
      </c>
      <c r="E94" s="3" t="str">
        <f>IFERROR(__xludf.DUMMYFUNCTION("""COMPUTED_VALUE"""),"XL")</f>
        <v>XL</v>
      </c>
      <c r="F94" s="3">
        <v>593.0</v>
      </c>
    </row>
    <row r="95">
      <c r="A95" s="3" t="str">
        <f>IFERROR(__xludf.DUMMYFUNCTION("""COMPUTED_VALUE"""),"DGI4HXW7OQ")</f>
        <v>DGI4HXW7OQ</v>
      </c>
      <c r="B95" s="3" t="str">
        <f>IFERROR(__xludf.DUMMYFUNCTION("""COMPUTED_VALUE"""),"Ferdous Ara Fahima ")</f>
        <v>Ferdous Ara Fahima </v>
      </c>
      <c r="C95" s="3" t="str">
        <f>IFERROR(__xludf.DUMMYFUNCTION("""COMPUTED_VALUE"""),"ferdousarafahima@gmail.com")</f>
        <v>ferdousarafahima@gmail.com</v>
      </c>
      <c r="D95" s="3" t="str">
        <f>IFERROR(__xludf.DUMMYFUNCTION("""COMPUTED_VALUE"""),"01761039943")</f>
        <v>01761039943</v>
      </c>
      <c r="E95" s="3" t="str">
        <f>IFERROR(__xludf.DUMMYFUNCTION("""COMPUTED_VALUE"""),"XL")</f>
        <v>XL</v>
      </c>
      <c r="F95" s="3">
        <v>594.0</v>
      </c>
    </row>
    <row r="96">
      <c r="A96" s="3" t="str">
        <f>IFERROR(__xludf.DUMMYFUNCTION("""COMPUTED_VALUE"""),"DGI5HY0JPP")</f>
        <v>DGI5HY0JPP</v>
      </c>
      <c r="B96" s="3" t="str">
        <f>IFERROR(__xludf.DUMMYFUNCTION("""COMPUTED_VALUE"""),"Sultana Akter")</f>
        <v>Sultana Akter</v>
      </c>
      <c r="C96" s="3" t="str">
        <f>IFERROR(__xludf.DUMMYFUNCTION("""COMPUTED_VALUE"""),"20240659107sultana@juniv.edu")</f>
        <v>20240659107sultana@juniv.edu</v>
      </c>
      <c r="D96" s="3" t="str">
        <f>IFERROR(__xludf.DUMMYFUNCTION("""COMPUTED_VALUE"""),"01312319015")</f>
        <v>01312319015</v>
      </c>
      <c r="E96" s="3" t="str">
        <f>IFERROR(__xludf.DUMMYFUNCTION("""COMPUTED_VALUE"""),"XL")</f>
        <v>XL</v>
      </c>
      <c r="F96" s="3">
        <v>595.0</v>
      </c>
    </row>
    <row r="97">
      <c r="A97" s="3" t="str">
        <f>IFERROR(__xludf.DUMMYFUNCTION("""COMPUTED_VALUE"""),"DGI2HYOHX2")</f>
        <v>DGI2HYOHX2</v>
      </c>
      <c r="B97" s="3" t="str">
        <f>IFERROR(__xludf.DUMMYFUNCTION("""COMPUTED_VALUE"""),"MD Rakibul Kabir Rakib ")</f>
        <v>MD Rakibul Kabir Rakib </v>
      </c>
      <c r="C97" s="3" t="str">
        <f>IFERROR(__xludf.DUMMYFUNCTION("""COMPUTED_VALUE"""),"rakibulkabir2007@gmail.com")</f>
        <v>rakibulkabir2007@gmail.com</v>
      </c>
      <c r="D97" s="3" t="str">
        <f>IFERROR(__xludf.DUMMYFUNCTION("""COMPUTED_VALUE"""),"01717933039")</f>
        <v>01717933039</v>
      </c>
      <c r="E97" s="3" t="str">
        <f>IFERROR(__xludf.DUMMYFUNCTION("""COMPUTED_VALUE"""),"XL")</f>
        <v>XL</v>
      </c>
      <c r="F97" s="3">
        <v>596.0</v>
      </c>
    </row>
    <row r="98">
      <c r="A98" s="3" t="str">
        <f>IFERROR(__xludf.DUMMYFUNCTION("""COMPUTED_VALUE"""),"DGI7HYUEJ3")</f>
        <v>DGI7HYUEJ3</v>
      </c>
      <c r="B98" s="3" t="str">
        <f>IFERROR(__xludf.DUMMYFUNCTION("""COMPUTED_VALUE"""),"MEZBAH")</f>
        <v>MEZBAH</v>
      </c>
      <c r="C98" s="3" t="str">
        <f>IFERROR(__xludf.DUMMYFUNCTION("""COMPUTED_VALUE"""),"mezbah.khan55692@gmail.com")</f>
        <v>mezbah.khan55692@gmail.com</v>
      </c>
      <c r="D98" s="3" t="str">
        <f>IFERROR(__xludf.DUMMYFUNCTION("""COMPUTED_VALUE"""),"01734739834")</f>
        <v>01734739834</v>
      </c>
      <c r="E98" s="3" t="str">
        <f>IFERROR(__xludf.DUMMYFUNCTION("""COMPUTED_VALUE"""),"M")</f>
        <v>M</v>
      </c>
      <c r="F98" s="3">
        <v>597.0</v>
      </c>
    </row>
    <row r="99">
      <c r="A99" s="3" t="str">
        <f>IFERROR(__xludf.DUMMYFUNCTION("""COMPUTED_VALUE"""),"DGI7HYLUVJ")</f>
        <v>DGI7HYLUVJ</v>
      </c>
      <c r="B99" s="3" t="str">
        <f>IFERROR(__xludf.DUMMYFUNCTION("""COMPUTED_VALUE"""),"SHARIF MEHERAB HOSSEN ZIDAN ")</f>
        <v>SHARIF MEHERAB HOSSEN ZIDAN </v>
      </c>
      <c r="C99" s="3" t="str">
        <f>IFERROR(__xludf.DUMMYFUNCTION("""COMPUTED_VALUE"""),"sharifmhzidan@gmail.com ")</f>
        <v>sharifmhzidan@gmail.com </v>
      </c>
      <c r="D99" s="3" t="str">
        <f>IFERROR(__xludf.DUMMYFUNCTION("""COMPUTED_VALUE"""),"1305444033")</f>
        <v>1305444033</v>
      </c>
      <c r="E99" s="3" t="str">
        <f>IFERROR(__xludf.DUMMYFUNCTION("""COMPUTED_VALUE"""),"XL (Chest-44, Length-29)")</f>
        <v>XL (Chest-44, Length-29)</v>
      </c>
      <c r="F99" s="3">
        <v>598.0</v>
      </c>
    </row>
    <row r="100">
      <c r="A100" s="3" t="str">
        <f>IFERROR(__xludf.DUMMYFUNCTION("""COMPUTED_VALUE"""),"DGI1HZD4W5")</f>
        <v>DGI1HZD4W5</v>
      </c>
      <c r="B100" s="3" t="str">
        <f>IFERROR(__xludf.DUMMYFUNCTION("""COMPUTED_VALUE"""),"Araf Mohammed Mahin")</f>
        <v>Araf Mohammed Mahin</v>
      </c>
      <c r="C100" s="3" t="str">
        <f>IFERROR(__xludf.DUMMYFUNCTION("""COMPUTED_VALUE"""),"arafmohammed1234@gmail.com")</f>
        <v>arafmohammed1234@gmail.com</v>
      </c>
      <c r="D100" s="3" t="str">
        <f>IFERROR(__xludf.DUMMYFUNCTION("""COMPUTED_VALUE"""),"01761606257")</f>
        <v>01761606257</v>
      </c>
      <c r="E100" s="3" t="str">
        <f>IFERROR(__xludf.DUMMYFUNCTION("""COMPUTED_VALUE"""),"L")</f>
        <v>L</v>
      </c>
      <c r="F100" s="3">
        <v>599.0</v>
      </c>
    </row>
    <row r="101">
      <c r="A101" s="3" t="str">
        <f>IFERROR(__xludf.DUMMYFUNCTION("""COMPUTED_VALUE"""),"DGI2HZA85M")</f>
        <v>DGI2HZA85M</v>
      </c>
      <c r="B101" s="3" t="str">
        <f>IFERROR(__xludf.DUMMYFUNCTION("""COMPUTED_VALUE"""),"Aysha Khondokar Jui")</f>
        <v>Aysha Khondokar Jui</v>
      </c>
      <c r="C101" s="3" t="str">
        <f>IFERROR(__xludf.DUMMYFUNCTION("""COMPUTED_VALUE"""),"juiayshakhondokar@gmail.com")</f>
        <v>juiayshakhondokar@gmail.com</v>
      </c>
      <c r="D101" s="3" t="str">
        <f>IFERROR(__xludf.DUMMYFUNCTION("""COMPUTED_VALUE"""),"01839392056")</f>
        <v>01839392056</v>
      </c>
      <c r="E101" s="3" t="str">
        <f>IFERROR(__xludf.DUMMYFUNCTION("""COMPUTED_VALUE"""),"2XL")</f>
        <v>2XL</v>
      </c>
      <c r="F101" s="3">
        <v>600.0</v>
      </c>
    </row>
    <row r="102">
      <c r="A102" s="3" t="str">
        <f>IFERROR(__xludf.DUMMYFUNCTION("""COMPUTED_VALUE"""),"DGI4HZF3IG")</f>
        <v>DGI4HZF3IG</v>
      </c>
      <c r="B102" s="3" t="str">
        <f>IFERROR(__xludf.DUMMYFUNCTION("""COMPUTED_VALUE"""),"Tafriha Jerin Raka ")</f>
        <v>Tafriha Jerin Raka </v>
      </c>
      <c r="C102" s="3" t="str">
        <f>IFERROR(__xludf.DUMMYFUNCTION("""COMPUTED_VALUE"""),"rakamoni431@gmail.com")</f>
        <v>rakamoni431@gmail.com</v>
      </c>
      <c r="D102" s="3" t="str">
        <f>IFERROR(__xludf.DUMMYFUNCTION("""COMPUTED_VALUE"""),"01521700616")</f>
        <v>01521700616</v>
      </c>
      <c r="E102" s="3" t="str">
        <f>IFERROR(__xludf.DUMMYFUNCTION("""COMPUTED_VALUE"""),"M")</f>
        <v>M</v>
      </c>
      <c r="F102" s="3">
        <v>601.0</v>
      </c>
    </row>
    <row r="103">
      <c r="A103" s="3" t="str">
        <f>IFERROR(__xludf.DUMMYFUNCTION("""COMPUTED_VALUE"""),"DGI9HZI5WR")</f>
        <v>DGI9HZI5WR</v>
      </c>
      <c r="B103" s="3" t="str">
        <f>IFERROR(__xludf.DUMMYFUNCTION("""COMPUTED_VALUE"""),"Md. Asif Khan")</f>
        <v>Md. Asif Khan</v>
      </c>
      <c r="C103" s="3" t="str">
        <f>IFERROR(__xludf.DUMMYFUNCTION("""COMPUTED_VALUE"""),"asifksifat@gmail.com")</f>
        <v>asifksifat@gmail.com</v>
      </c>
      <c r="D103" s="3" t="str">
        <f>IFERROR(__xludf.DUMMYFUNCTION("""COMPUTED_VALUE"""),"01623945128")</f>
        <v>01623945128</v>
      </c>
      <c r="E103" s="3" t="str">
        <f>IFERROR(__xludf.DUMMYFUNCTION("""COMPUTED_VALUE"""),"L")</f>
        <v>L</v>
      </c>
      <c r="F103" s="3">
        <v>602.0</v>
      </c>
    </row>
    <row r="104">
      <c r="A104" s="3" t="str">
        <f>IFERROR(__xludf.DUMMYFUNCTION("""COMPUTED_VALUE"""),"DGI1HZILFP")</f>
        <v>DGI1HZILFP</v>
      </c>
      <c r="B104" s="3" t="str">
        <f>IFERROR(__xludf.DUMMYFUNCTION("""COMPUTED_VALUE"""),"Mariam Akter Lamia ")</f>
        <v>Mariam Akter Lamia </v>
      </c>
      <c r="C104" s="3" t="str">
        <f>IFERROR(__xludf.DUMMYFUNCTION("""COMPUTED_VALUE"""),"lamiamariamakter@gmail.com ")</f>
        <v>lamiamariamakter@gmail.com </v>
      </c>
      <c r="D104" s="3" t="str">
        <f>IFERROR(__xludf.DUMMYFUNCTION("""COMPUTED_VALUE"""),"01850667157")</f>
        <v>01850667157</v>
      </c>
      <c r="E104" s="3" t="str">
        <f>IFERROR(__xludf.DUMMYFUNCTION("""COMPUTED_VALUE"""),"2XL")</f>
        <v>2XL</v>
      </c>
      <c r="F104" s="3">
        <v>603.0</v>
      </c>
    </row>
    <row r="105">
      <c r="A105" s="3" t="str">
        <f>IFERROR(__xludf.DUMMYFUNCTION("""COMPUTED_VALUE"""),"DGI3HZKQO1")</f>
        <v>DGI3HZKQO1</v>
      </c>
      <c r="B105" s="3" t="str">
        <f>IFERROR(__xludf.DUMMYFUNCTION("""COMPUTED_VALUE"""),"Sabbir Hossain Subo")</f>
        <v>Sabbir Hossain Subo</v>
      </c>
      <c r="C105" s="3" t="str">
        <f>IFERROR(__xludf.DUMMYFUNCTION("""COMPUTED_VALUE"""),"suvosk00@gmail.com")</f>
        <v>suvosk00@gmail.com</v>
      </c>
      <c r="D105" s="3" t="str">
        <f>IFERROR(__xludf.DUMMYFUNCTION("""COMPUTED_VALUE"""),"01978441255")</f>
        <v>01978441255</v>
      </c>
      <c r="E105" s="3" t="str">
        <f>IFERROR(__xludf.DUMMYFUNCTION("""COMPUTED_VALUE"""),"XL")</f>
        <v>XL</v>
      </c>
      <c r="F105" s="3">
        <v>604.0</v>
      </c>
    </row>
    <row r="106">
      <c r="A106" s="3" t="str">
        <f>IFERROR(__xludf.DUMMYFUNCTION("""COMPUTED_VALUE"""),"DGI5HZOF63")</f>
        <v>DGI5HZOF63</v>
      </c>
      <c r="B106" s="3" t="str">
        <f>IFERROR(__xludf.DUMMYFUNCTION("""COMPUTED_VALUE"""),"Md. Al Amin Sarkar")</f>
        <v>Md. Al Amin Sarkar</v>
      </c>
      <c r="C106" s="3" t="str">
        <f>IFERROR(__xludf.DUMMYFUNCTION("""COMPUTED_VALUE"""),"mdalaminsarker2709@gmail.com")</f>
        <v>mdalaminsarker2709@gmail.com</v>
      </c>
      <c r="D106" s="3" t="str">
        <f>IFERROR(__xludf.DUMMYFUNCTION("""COMPUTED_VALUE"""),"01568704039")</f>
        <v>01568704039</v>
      </c>
      <c r="E106" s="3" t="str">
        <f>IFERROR(__xludf.DUMMYFUNCTION("""COMPUTED_VALUE"""),"L")</f>
        <v>L</v>
      </c>
      <c r="F106" s="3">
        <v>605.0</v>
      </c>
    </row>
    <row r="107">
      <c r="A107" s="3" t="str">
        <f>IFERROR(__xludf.DUMMYFUNCTION("""COMPUTED_VALUE"""),"DGI1HZUI33")</f>
        <v>DGI1HZUI33</v>
      </c>
      <c r="B107" s="3" t="str">
        <f>IFERROR(__xludf.DUMMYFUNCTION("""COMPUTED_VALUE"""),"Umma Habiba Eti")</f>
        <v>Umma Habiba Eti</v>
      </c>
      <c r="C107" s="3" t="str">
        <f>IFERROR(__xludf.DUMMYFUNCTION("""COMPUTED_VALUE"""),"20210652858habiba1@juniv.edu")</f>
        <v>20210652858habiba1@juniv.edu</v>
      </c>
      <c r="D107" s="3" t="str">
        <f>IFERROR(__xludf.DUMMYFUNCTION("""COMPUTED_VALUE"""),"01719186576")</f>
        <v>01719186576</v>
      </c>
      <c r="E107" s="3" t="str">
        <f>IFERROR(__xludf.DUMMYFUNCTION("""COMPUTED_VALUE"""),"XL")</f>
        <v>XL</v>
      </c>
      <c r="F107" s="3">
        <v>606.0</v>
      </c>
    </row>
    <row r="108">
      <c r="A108" s="3" t="str">
        <f>IFERROR(__xludf.DUMMYFUNCTION("""COMPUTED_VALUE"""),"DGI4I0BV1I")</f>
        <v>DGI4I0BV1I</v>
      </c>
      <c r="B108" s="3" t="str">
        <f>IFERROR(__xludf.DUMMYFUNCTION("""COMPUTED_VALUE"""),"Muhaimin Kamran ")</f>
        <v>Muhaimin Kamran </v>
      </c>
      <c r="C108" s="3" t="str">
        <f>IFERROR(__xludf.DUMMYFUNCTION("""COMPUTED_VALUE"""),"muhaiminkamran@gmail.com")</f>
        <v>muhaiminkamran@gmail.com</v>
      </c>
      <c r="D108" s="3" t="str">
        <f>IFERROR(__xludf.DUMMYFUNCTION("""COMPUTED_VALUE"""),"01522104126")</f>
        <v>01522104126</v>
      </c>
      <c r="E108" s="3" t="str">
        <f>IFERROR(__xludf.DUMMYFUNCTION("""COMPUTED_VALUE"""),"L")</f>
        <v>L</v>
      </c>
      <c r="F108" s="3">
        <v>607.0</v>
      </c>
    </row>
    <row r="109">
      <c r="A109" s="3" t="str">
        <f>IFERROR(__xludf.DUMMYFUNCTION("""COMPUTED_VALUE"""),"DGI5I0MQ4P  (ট্রানঞ্জেকশন আইডি)")</f>
        <v>DGI5I0MQ4P  (ট্রানঞ্জেকশন আইডি)</v>
      </c>
      <c r="B109" s="3" t="str">
        <f>IFERROR(__xludf.DUMMYFUNCTION("""COMPUTED_VALUE"""),"Md. Khayrul Islam ")</f>
        <v>Md. Khayrul Islam </v>
      </c>
      <c r="C109" s="3" t="str">
        <f>IFERROR(__xludf.DUMMYFUNCTION("""COMPUTED_VALUE"""),"mahamudkhayer@gmail.com")</f>
        <v>mahamudkhayer@gmail.com</v>
      </c>
      <c r="D109" s="3" t="str">
        <f>IFERROR(__xludf.DUMMYFUNCTION("""COMPUTED_VALUE"""),"01878933753")</f>
        <v>01878933753</v>
      </c>
      <c r="E109" s="3" t="str">
        <f>IFERROR(__xludf.DUMMYFUNCTION("""COMPUTED_VALUE"""),"XL-44-29")</f>
        <v>XL-44-29</v>
      </c>
      <c r="F109" s="3">
        <v>608.0</v>
      </c>
    </row>
    <row r="110">
      <c r="A110" s="3" t="str">
        <f>IFERROR(__xludf.DUMMYFUNCTION("""COMPUTED_VALUE"""),"DGI1I1A68N")</f>
        <v>DGI1I1A68N</v>
      </c>
      <c r="B110" s="3" t="str">
        <f>IFERROR(__xludf.DUMMYFUNCTION("""COMPUTED_VALUE"""),"Md Hasan Ahmed")</f>
        <v>Md Hasan Ahmed</v>
      </c>
      <c r="C110" s="3" t="str">
        <f>IFERROR(__xludf.DUMMYFUNCTION("""COMPUTED_VALUE"""),"hasanalmahamud121@gmail.com")</f>
        <v>hasanalmahamud121@gmail.com</v>
      </c>
      <c r="D110" s="3" t="str">
        <f>IFERROR(__xludf.DUMMYFUNCTION("""COMPUTED_VALUE"""),"01882481880")</f>
        <v>01882481880</v>
      </c>
      <c r="E110" s="3" t="str">
        <f>IFERROR(__xludf.DUMMYFUNCTION("""COMPUTED_VALUE"""),"M")</f>
        <v>M</v>
      </c>
      <c r="F110" s="3">
        <v>609.0</v>
      </c>
    </row>
    <row r="111">
      <c r="A111" s="3" t="str">
        <f>IFERROR(__xludf.DUMMYFUNCTION("""COMPUTED_VALUE"""),"DGI1I1BJN9")</f>
        <v>DGI1I1BJN9</v>
      </c>
      <c r="B111" s="3" t="str">
        <f>IFERROR(__xludf.DUMMYFUNCTION("""COMPUTED_VALUE"""),"Tabassum Mostofa Mim ")</f>
        <v>Tabassum Mostofa Mim </v>
      </c>
      <c r="C111" s="3" t="str">
        <f>IFERROR(__xludf.DUMMYFUNCTION("""COMPUTED_VALUE"""),"mimtabassum053@gmail.com")</f>
        <v>mimtabassum053@gmail.com</v>
      </c>
      <c r="D111" s="3" t="str">
        <f>IFERROR(__xludf.DUMMYFUNCTION("""COMPUTED_VALUE"""),"01787208669")</f>
        <v>01787208669</v>
      </c>
      <c r="E111" s="3" t="str">
        <f>IFERROR(__xludf.DUMMYFUNCTION("""COMPUTED_VALUE"""),"M")</f>
        <v>M</v>
      </c>
      <c r="F111" s="3">
        <v>610.0</v>
      </c>
    </row>
    <row r="112">
      <c r="A112" s="3" t="str">
        <f>IFERROR(__xludf.DUMMYFUNCTION("""COMPUTED_VALUE"""),"DGI0I1DQR0")</f>
        <v>DGI0I1DQR0</v>
      </c>
      <c r="B112" s="3" t="str">
        <f>IFERROR(__xludf.DUMMYFUNCTION("""COMPUTED_VALUE"""),"Atia Munni")</f>
        <v>Atia Munni</v>
      </c>
      <c r="C112" s="3" t="str">
        <f>IFERROR(__xludf.DUMMYFUNCTION("""COMPUTED_VALUE"""),"atiamunni.ju46@gmail.com")</f>
        <v>atiamunni.ju46@gmail.com</v>
      </c>
      <c r="D112" s="3" t="str">
        <f>IFERROR(__xludf.DUMMYFUNCTION("""COMPUTED_VALUE"""),"01679579066")</f>
        <v>01679579066</v>
      </c>
      <c r="E112" s="3" t="str">
        <f>IFERROR(__xludf.DUMMYFUNCTION("""COMPUTED_VALUE"""),"L")</f>
        <v>L</v>
      </c>
      <c r="F112" s="3">
        <v>611.0</v>
      </c>
    </row>
    <row r="113">
      <c r="A113" s="3" t="str">
        <f>IFERROR(__xludf.DUMMYFUNCTION("""COMPUTED_VALUE"""),"DGI6I1EWWE")</f>
        <v>DGI6I1EWWE</v>
      </c>
      <c r="B113" s="3" t="str">
        <f>IFERROR(__xludf.DUMMYFUNCTION("""COMPUTED_VALUE"""),"Al Shahria shakil ")</f>
        <v>Al Shahria shakil </v>
      </c>
      <c r="C113" s="3" t="str">
        <f>IFERROR(__xludf.DUMMYFUNCTION("""COMPUTED_VALUE"""),"shakiljubd@gmail ")</f>
        <v>shakiljubd@gmail </v>
      </c>
      <c r="D113" s="3" t="str">
        <f>IFERROR(__xludf.DUMMYFUNCTION("""COMPUTED_VALUE"""),"01839454181")</f>
        <v>01839454181</v>
      </c>
      <c r="E113" s="3" t="str">
        <f>IFERROR(__xludf.DUMMYFUNCTION("""COMPUTED_VALUE"""),"XL")</f>
        <v>XL</v>
      </c>
      <c r="F113" s="3">
        <v>612.0</v>
      </c>
    </row>
    <row r="114">
      <c r="A114" s="3" t="str">
        <f>IFERROR(__xludf.DUMMYFUNCTION("""COMPUTED_VALUE"""),"DGI9I1N2N7")</f>
        <v>DGI9I1N2N7</v>
      </c>
      <c r="B114" s="3" t="str">
        <f>IFERROR(__xludf.DUMMYFUNCTION("""COMPUTED_VALUE"""),"Sojeeb Kumar Dhiraj ")</f>
        <v>Sojeeb Kumar Dhiraj </v>
      </c>
      <c r="C114" s="3" t="str">
        <f>IFERROR(__xludf.DUMMYFUNCTION("""COMPUTED_VALUE"""),"20262764093sojeeb@juniv.edu")</f>
        <v>20262764093sojeeb@juniv.edu</v>
      </c>
      <c r="D114" s="3" t="str">
        <f>IFERROR(__xludf.DUMMYFUNCTION("""COMPUTED_VALUE"""),"01788820384")</f>
        <v>01788820384</v>
      </c>
      <c r="E114" s="3" t="str">
        <f>IFERROR(__xludf.DUMMYFUNCTION("""COMPUTED_VALUE"""),"L size ")</f>
        <v>L size </v>
      </c>
      <c r="F114" s="3">
        <v>613.0</v>
      </c>
    </row>
    <row r="115">
      <c r="A115" s="3" t="str">
        <f>IFERROR(__xludf.DUMMYFUNCTION("""COMPUTED_VALUE"""),"DGI4I1VQEO")</f>
        <v>DGI4I1VQEO</v>
      </c>
      <c r="B115" s="3" t="str">
        <f>IFERROR(__xludf.DUMMYFUNCTION("""COMPUTED_VALUE"""),"MD.KAMRUL HASAN APON ")</f>
        <v>MD.KAMRUL HASAN APON </v>
      </c>
      <c r="C115" s="3" t="str">
        <f>IFERROR(__xludf.DUMMYFUNCTION("""COMPUTED_VALUE"""),"mkaponkhan328@gmail.com")</f>
        <v>mkaponkhan328@gmail.com</v>
      </c>
      <c r="D115" s="3" t="str">
        <f>IFERROR(__xludf.DUMMYFUNCTION("""COMPUTED_VALUE"""),"01334190218")</f>
        <v>01334190218</v>
      </c>
      <c r="E115" s="3" t="str">
        <f>IFERROR(__xludf.DUMMYFUNCTION("""COMPUTED_VALUE"""),"L")</f>
        <v>L</v>
      </c>
      <c r="F115" s="3">
        <v>614.0</v>
      </c>
    </row>
    <row r="116">
      <c r="A116" s="3" t="str">
        <f>IFERROR(__xludf.DUMMYFUNCTION("""COMPUTED_VALUE"""),"DGI2I2TRDI")</f>
        <v>DGI2I2TRDI</v>
      </c>
      <c r="B116" s="3" t="str">
        <f>IFERROR(__xludf.DUMMYFUNCTION("""COMPUTED_VALUE"""),"Ikra Khan ")</f>
        <v>Ikra Khan </v>
      </c>
      <c r="C116" s="3" t="str">
        <f>IFERROR(__xludf.DUMMYFUNCTION("""COMPUTED_VALUE"""),"ikrakhan3003@gmail.com")</f>
        <v>ikrakhan3003@gmail.com</v>
      </c>
      <c r="D116" s="3" t="str">
        <f>IFERROR(__xludf.DUMMYFUNCTION("""COMPUTED_VALUE"""),"01712183541")</f>
        <v>01712183541</v>
      </c>
      <c r="E116" s="3" t="str">
        <f>IFERROR(__xludf.DUMMYFUNCTION("""COMPUTED_VALUE"""),"L")</f>
        <v>L</v>
      </c>
      <c r="F116" s="3">
        <v>615.0</v>
      </c>
    </row>
    <row r="117">
      <c r="A117" s="3" t="str">
        <f>IFERROR(__xludf.DUMMYFUNCTION("""COMPUTED_VALUE"""),"DGI3I3ODJV")</f>
        <v>DGI3I3ODJV</v>
      </c>
      <c r="B117" s="3" t="str">
        <f>IFERROR(__xludf.DUMMYFUNCTION("""COMPUTED_VALUE"""),"MD RAGAB NUR RAFIQ ")</f>
        <v>MD RAGAB NUR RAFIQ </v>
      </c>
      <c r="C117" s="3" t="str">
        <f>IFERROR(__xludf.DUMMYFUNCTION("""COMPUTED_VALUE"""),"mdragabnurr@gmail.com")</f>
        <v>mdragabnurr@gmail.com</v>
      </c>
      <c r="D117" s="3" t="str">
        <f>IFERROR(__xludf.DUMMYFUNCTION("""COMPUTED_VALUE"""),"01815426162")</f>
        <v>01815426162</v>
      </c>
      <c r="E117" s="3" t="str">
        <f>IFERROR(__xludf.DUMMYFUNCTION("""COMPUTED_VALUE"""),"XL")</f>
        <v>XL</v>
      </c>
      <c r="F117" s="3">
        <v>616.0</v>
      </c>
    </row>
    <row r="118">
      <c r="A118" s="3" t="str">
        <f>IFERROR(__xludf.DUMMYFUNCTION("""COMPUTED_VALUE"""),"DGI4I4BJQG")</f>
        <v>DGI4I4BJQG</v>
      </c>
      <c r="B118" s="3" t="str">
        <f>IFERROR(__xludf.DUMMYFUNCTION("""COMPUTED_VALUE"""),"Masqurl Alam ")</f>
        <v>Masqurl Alam </v>
      </c>
      <c r="C118" s="3" t="str">
        <f>IFERROR(__xludf.DUMMYFUNCTION("""COMPUTED_VALUE"""),"mdmasqurl0@gmail.com")</f>
        <v>mdmasqurl0@gmail.com</v>
      </c>
      <c r="D118" s="3" t="str">
        <f>IFERROR(__xludf.DUMMYFUNCTION("""COMPUTED_VALUE"""),"01839541374")</f>
        <v>01839541374</v>
      </c>
      <c r="E118" s="3" t="str">
        <f>IFERROR(__xludf.DUMMYFUNCTION("""COMPUTED_VALUE"""),"2XL")</f>
        <v>2XL</v>
      </c>
      <c r="F118" s="3">
        <v>617.0</v>
      </c>
    </row>
    <row r="119">
      <c r="A119" s="3" t="str">
        <f>IFERROR(__xludf.DUMMYFUNCTION("""COMPUTED_VALUE"""),"DGI4I4RIW0")</f>
        <v>DGI4I4RIW0</v>
      </c>
      <c r="B119" s="3" t="str">
        <f>IFERROR(__xludf.DUMMYFUNCTION("""COMPUTED_VALUE"""),"Sumiya Akter Samia")</f>
        <v>Sumiya Akter Samia</v>
      </c>
      <c r="C119" s="3" t="str">
        <f>IFERROR(__xludf.DUMMYFUNCTION("""COMPUTED_VALUE"""),"samianihin@gmail.com")</f>
        <v>samianihin@gmail.com</v>
      </c>
      <c r="D119" s="3" t="str">
        <f>IFERROR(__xludf.DUMMYFUNCTION("""COMPUTED_VALUE"""),"01761888141")</f>
        <v>01761888141</v>
      </c>
      <c r="E119" s="3" t="str">
        <f>IFERROR(__xludf.DUMMYFUNCTION("""COMPUTED_VALUE"""),"L")</f>
        <v>L</v>
      </c>
      <c r="F119" s="3">
        <v>618.0</v>
      </c>
    </row>
    <row r="120">
      <c r="A120" s="3" t="str">
        <f>IFERROR(__xludf.DUMMYFUNCTION("""COMPUTED_VALUE"""),"DGI1I4NN8Z")</f>
        <v>DGI1I4NN8Z</v>
      </c>
      <c r="B120" s="3" t="str">
        <f>IFERROR(__xludf.DUMMYFUNCTION("""COMPUTED_VALUE"""),"Saraf Mahdi Sorkar ")</f>
        <v>Saraf Mahdi Sorkar </v>
      </c>
      <c r="C120" s="3" t="str">
        <f>IFERROR(__xludf.DUMMYFUNCTION("""COMPUTED_VALUE"""),"mahdisorkar82@gmail.com")</f>
        <v>mahdisorkar82@gmail.com</v>
      </c>
      <c r="D120" s="3" t="str">
        <f>IFERROR(__xludf.DUMMYFUNCTION("""COMPUTED_VALUE"""),"01782999522")</f>
        <v>01782999522</v>
      </c>
      <c r="E120" s="3" t="str">
        <f>IFERROR(__xludf.DUMMYFUNCTION("""COMPUTED_VALUE"""),"XL")</f>
        <v>XL</v>
      </c>
      <c r="F120" s="3">
        <v>619.0</v>
      </c>
    </row>
    <row r="121">
      <c r="A121" s="3" t="str">
        <f>IFERROR(__xludf.DUMMYFUNCTION("""COMPUTED_VALUE"""),"DGI7I4V99V")</f>
        <v>DGI7I4V99V</v>
      </c>
      <c r="B121" s="3" t="str">
        <f>IFERROR(__xludf.DUMMYFUNCTION("""COMPUTED_VALUE"""),"Jannatun Ferdousi ")</f>
        <v>Jannatun Ferdousi </v>
      </c>
      <c r="C121" s="3" t="str">
        <f>IFERROR(__xludf.DUMMYFUNCTION("""COMPUTED_VALUE"""),"jannatunferdousi490@gmail ")</f>
        <v>jannatunferdousi490@gmail </v>
      </c>
      <c r="D121" s="3" t="str">
        <f>IFERROR(__xludf.DUMMYFUNCTION("""COMPUTED_VALUE"""),"01302335653")</f>
        <v>01302335653</v>
      </c>
      <c r="E121" s="3" t="str">
        <f>IFERROR(__xludf.DUMMYFUNCTION("""COMPUTED_VALUE"""),"XL")</f>
        <v>XL</v>
      </c>
      <c r="F121" s="3">
        <v>620.0</v>
      </c>
    </row>
    <row r="122">
      <c r="A122" s="3" t="str">
        <f>IFERROR(__xludf.DUMMYFUNCTION("""COMPUTED_VALUE"""),"DGI4I57284")</f>
        <v>DGI4I57284</v>
      </c>
      <c r="B122" s="3" t="str">
        <f>IFERROR(__xludf.DUMMYFUNCTION("""COMPUTED_VALUE"""),"Ariful Islam")</f>
        <v>Ariful Islam</v>
      </c>
      <c r="C122" s="3" t="str">
        <f>IFERROR(__xludf.DUMMYFUNCTION("""COMPUTED_VALUE"""),"arifstar71@gmail.com")</f>
        <v>arifstar71@gmail.com</v>
      </c>
      <c r="D122" s="3" t="str">
        <f>IFERROR(__xludf.DUMMYFUNCTION("""COMPUTED_VALUE"""),"01752512933")</f>
        <v>01752512933</v>
      </c>
      <c r="E122" s="3" t="str">
        <f>IFERROR(__xludf.DUMMYFUNCTION("""COMPUTED_VALUE"""),"M")</f>
        <v>M</v>
      </c>
      <c r="F122" s="3">
        <v>621.0</v>
      </c>
    </row>
    <row r="123">
      <c r="A123" s="3" t="str">
        <f>IFERROR(__xludf.DUMMYFUNCTION("""COMPUTED_VALUE"""),"DGI9I5KE6L")</f>
        <v>DGI9I5KE6L</v>
      </c>
      <c r="B123" s="3" t="str">
        <f>IFERROR(__xludf.DUMMYFUNCTION("""COMPUTED_VALUE"""),"Abdullah Al Fahim")</f>
        <v>Abdullah Al Fahim</v>
      </c>
      <c r="C123" s="3" t="str">
        <f>IFERROR(__xludf.DUMMYFUNCTION("""COMPUTED_VALUE"""),"abdullahalfaheem9@gmail.com")</f>
        <v>abdullahalfaheem9@gmail.com</v>
      </c>
      <c r="D123" s="3" t="str">
        <f>IFERROR(__xludf.DUMMYFUNCTION("""COMPUTED_VALUE"""),"01870333657")</f>
        <v>01870333657</v>
      </c>
      <c r="E123" s="3" t="str">
        <f>IFERROR(__xludf.DUMMYFUNCTION("""COMPUTED_VALUE"""),"XL")</f>
        <v>XL</v>
      </c>
      <c r="F123" s="3">
        <v>622.0</v>
      </c>
    </row>
    <row r="124">
      <c r="A124" s="3" t="str">
        <f>IFERROR(__xludf.DUMMYFUNCTION("""COMPUTED_VALUE"""),"DGI9I5PXZ3")</f>
        <v>DGI9I5PXZ3</v>
      </c>
      <c r="B124" s="3" t="str">
        <f>IFERROR(__xludf.DUMMYFUNCTION("""COMPUTED_VALUE"""),"A K M Mahin Mahodi Alam ")</f>
        <v>A K M Mahin Mahodi Alam </v>
      </c>
      <c r="C124" s="3" t="str">
        <f>IFERROR(__xludf.DUMMYFUNCTION("""COMPUTED_VALUE"""),"mahinmahodi@gmail.com")</f>
        <v>mahinmahodi@gmail.com</v>
      </c>
      <c r="D124" s="3" t="str">
        <f>IFERROR(__xludf.DUMMYFUNCTION("""COMPUTED_VALUE"""),"01906737402")</f>
        <v>01906737402</v>
      </c>
      <c r="E124" s="3" t="str">
        <f>IFERROR(__xludf.DUMMYFUNCTION("""COMPUTED_VALUE"""),"L")</f>
        <v>L</v>
      </c>
      <c r="F124" s="3">
        <v>623.0</v>
      </c>
    </row>
    <row r="125">
      <c r="A125" s="3" t="str">
        <f>IFERROR(__xludf.DUMMYFUNCTION("""COMPUTED_VALUE"""),"DGI9I5W4L9")</f>
        <v>DGI9I5W4L9</v>
      </c>
      <c r="B125" s="3" t="str">
        <f>IFERROR(__xludf.DUMMYFUNCTION("""COMPUTED_VALUE"""),"MD.Nuruzzaman Islam")</f>
        <v>MD.Nuruzzaman Islam</v>
      </c>
      <c r="C125" s="3" t="str">
        <f>IFERROR(__xludf.DUMMYFUNCTION("""COMPUTED_VALUE"""),"mdnuruzzamani203@gmail ")</f>
        <v>mdnuruzzamani203@gmail </v>
      </c>
      <c r="D125" s="3" t="str">
        <f>IFERROR(__xludf.DUMMYFUNCTION("""COMPUTED_VALUE"""),"01521767987")</f>
        <v>01521767987</v>
      </c>
      <c r="E125" s="3" t="str">
        <f>IFERROR(__xludf.DUMMYFUNCTION("""COMPUTED_VALUE"""),"XL")</f>
        <v>XL</v>
      </c>
      <c r="F125" s="3">
        <v>624.0</v>
      </c>
    </row>
    <row r="126">
      <c r="A126" s="3" t="str">
        <f>IFERROR(__xludf.DUMMYFUNCTION("""COMPUTED_VALUE"""),"DGJ9I6NHC3")</f>
        <v>DGJ9I6NHC3</v>
      </c>
      <c r="B126" s="3" t="str">
        <f>IFERROR(__xludf.DUMMYFUNCTION("""COMPUTED_VALUE"""),"Md. Khaled Mahmud Jon ")</f>
        <v>Md. Khaled Mahmud Jon </v>
      </c>
      <c r="C126" s="3" t="str">
        <f>IFERROR(__xludf.DUMMYFUNCTION("""COMPUTED_VALUE"""),"khaledmahmud190192@gmail.com2xl")</f>
        <v>khaledmahmud190192@gmail.com2xl</v>
      </c>
      <c r="D126" s="3" t="str">
        <f>IFERROR(__xludf.DUMMYFUNCTION("""COMPUTED_VALUE"""),"01786883908")</f>
        <v>01786883908</v>
      </c>
      <c r="E126" s="3" t="str">
        <f>IFERROR(__xludf.DUMMYFUNCTION("""COMPUTED_VALUE"""),"2xl")</f>
        <v>2xl</v>
      </c>
      <c r="F126" s="3">
        <v>625.0</v>
      </c>
    </row>
    <row r="127">
      <c r="A127" s="3" t="str">
        <f>IFERROR(__xludf.DUMMYFUNCTION("""COMPUTED_VALUE"""),"DGJ8I6P6DU")</f>
        <v>DGJ8I6P6DU</v>
      </c>
      <c r="B127" s="3" t="str">
        <f>IFERROR(__xludf.DUMMYFUNCTION("""COMPUTED_VALUE"""),"Tawhidul Islam")</f>
        <v>Tawhidul Islam</v>
      </c>
      <c r="C127" s="3" t="str">
        <f>IFERROR(__xludf.DUMMYFUNCTION("""COMPUTED_VALUE"""),"tawhidulislamnishat@gmail.com")</f>
        <v>tawhidulislamnishat@gmail.com</v>
      </c>
      <c r="D127" s="3" t="str">
        <f>IFERROR(__xludf.DUMMYFUNCTION("""COMPUTED_VALUE"""),"01843588321")</f>
        <v>01843588321</v>
      </c>
      <c r="E127" s="3" t="str">
        <f>IFERROR(__xludf.DUMMYFUNCTION("""COMPUTED_VALUE"""),"XL")</f>
        <v>XL</v>
      </c>
      <c r="F127" s="3">
        <v>626.0</v>
      </c>
    </row>
    <row r="128">
      <c r="A128" s="3" t="str">
        <f>IFERROR(__xludf.DUMMYFUNCTION("""COMPUTED_VALUE"""),"DGJ7I6SMZN")</f>
        <v>DGJ7I6SMZN</v>
      </c>
      <c r="B128" s="3" t="str">
        <f>IFERROR(__xludf.DUMMYFUNCTION("""COMPUTED_VALUE"""),"Md. Mahebe Rahman")</f>
        <v>Md. Mahebe Rahman</v>
      </c>
      <c r="C128" s="3" t="str">
        <f>IFERROR(__xludf.DUMMYFUNCTION("""COMPUTED_VALUE"""),"maheberahman16@gmail.com")</f>
        <v>maheberahman16@gmail.com</v>
      </c>
      <c r="D128" s="3" t="str">
        <f>IFERROR(__xludf.DUMMYFUNCTION("""COMPUTED_VALUE"""),"01533624920")</f>
        <v>01533624920</v>
      </c>
      <c r="E128" s="3" t="str">
        <f>IFERROR(__xludf.DUMMYFUNCTION("""COMPUTED_VALUE"""),"XL")</f>
        <v>XL</v>
      </c>
      <c r="F128" s="3">
        <v>627.0</v>
      </c>
    </row>
    <row r="129">
      <c r="A129" s="3" t="str">
        <f>IFERROR(__xludf.DUMMYFUNCTION("""COMPUTED_VALUE"""),"DGJ2I70C9G")</f>
        <v>DGJ2I70C9G</v>
      </c>
      <c r="B129" s="3" t="str">
        <f>IFERROR(__xludf.DUMMYFUNCTION("""COMPUTED_VALUE"""),"Morsheda Jahan ")</f>
        <v>Morsheda Jahan </v>
      </c>
      <c r="C129" s="3" t="str">
        <f>IFERROR(__xludf.DUMMYFUNCTION("""COMPUTED_VALUE"""),"mjahanofficial@gmail.com")</f>
        <v>mjahanofficial@gmail.com</v>
      </c>
      <c r="D129" s="3" t="str">
        <f>IFERROR(__xludf.DUMMYFUNCTION("""COMPUTED_VALUE"""),"01934628743")</f>
        <v>01934628743</v>
      </c>
      <c r="E129" s="3" t="str">
        <f>IFERROR(__xludf.DUMMYFUNCTION("""COMPUTED_VALUE"""),"L")</f>
        <v>L</v>
      </c>
      <c r="F129" s="3">
        <v>628.0</v>
      </c>
    </row>
    <row r="130">
      <c r="A130" s="3" t="str">
        <f>IFERROR(__xludf.DUMMYFUNCTION("""COMPUTED_VALUE"""),"DGJ6I6YR2E")</f>
        <v>DGJ6I6YR2E</v>
      </c>
      <c r="B130" s="3" t="str">
        <f>IFERROR(__xludf.DUMMYFUNCTION("""COMPUTED_VALUE"""),"Jhilik Sarkar ")</f>
        <v>Jhilik Sarkar </v>
      </c>
      <c r="C130" s="3" t="str">
        <f>IFERROR(__xludf.DUMMYFUNCTION("""COMPUTED_VALUE"""),"jhiliksarkar91@gmail.com")</f>
        <v>jhiliksarkar91@gmail.com</v>
      </c>
      <c r="D130" s="3" t="str">
        <f>IFERROR(__xludf.DUMMYFUNCTION("""COMPUTED_VALUE"""),"01736622724")</f>
        <v>01736622724</v>
      </c>
      <c r="E130" s="3" t="str">
        <f>IFERROR(__xludf.DUMMYFUNCTION("""COMPUTED_VALUE"""),"L")</f>
        <v>L</v>
      </c>
      <c r="F130" s="3">
        <v>629.0</v>
      </c>
    </row>
    <row r="131">
      <c r="A131" s="3" t="str">
        <f>IFERROR(__xludf.DUMMYFUNCTION("""COMPUTED_VALUE"""),"DGJ4I7C2QO")</f>
        <v>DGJ4I7C2QO</v>
      </c>
      <c r="B131" s="3" t="str">
        <f>IFERROR(__xludf.DUMMYFUNCTION("""COMPUTED_VALUE"""),"Mahmudul Haque Shahed")</f>
        <v>Mahmudul Haque Shahed</v>
      </c>
      <c r="C131" s="3" t="str">
        <f>IFERROR(__xludf.DUMMYFUNCTION("""COMPUTED_VALUE"""),"mdmahmudulhq@gmail.com")</f>
        <v>mdmahmudulhq@gmail.com</v>
      </c>
      <c r="D131" s="3" t="str">
        <f>IFERROR(__xludf.DUMMYFUNCTION("""COMPUTED_VALUE"""),"01860841090")</f>
        <v>01860841090</v>
      </c>
      <c r="E131" s="3" t="str">
        <f>IFERROR(__xludf.DUMMYFUNCTION("""COMPUTED_VALUE"""),"L")</f>
        <v>L</v>
      </c>
      <c r="F131" s="3">
        <v>630.0</v>
      </c>
    </row>
    <row r="132">
      <c r="A132" s="3" t="str">
        <f>IFERROR(__xludf.DUMMYFUNCTION("""COMPUTED_VALUE"""),"DGJ0I81I1E")</f>
        <v>DGJ0I81I1E</v>
      </c>
      <c r="B132" s="3" t="str">
        <f>IFERROR(__xludf.DUMMYFUNCTION("""COMPUTED_VALUE"""),"Fahad Rahman Jabir")</f>
        <v>Fahad Rahman Jabir</v>
      </c>
      <c r="C132" s="3" t="str">
        <f>IFERROR(__xludf.DUMMYFUNCTION("""COMPUTED_VALUE"""),"jr8672490@gmail.com")</f>
        <v>jr8672490@gmail.com</v>
      </c>
      <c r="D132" s="3" t="str">
        <f>IFERROR(__xludf.DUMMYFUNCTION("""COMPUTED_VALUE"""),"01606591108")</f>
        <v>01606591108</v>
      </c>
      <c r="E132" s="3" t="str">
        <f>IFERROR(__xludf.DUMMYFUNCTION("""COMPUTED_VALUE"""),"L")</f>
        <v>L</v>
      </c>
      <c r="F132" s="3">
        <v>631.0</v>
      </c>
    </row>
    <row r="133">
      <c r="A133" s="3" t="str">
        <f>IFERROR(__xludf.DUMMYFUNCTION("""COMPUTED_VALUE"""),"DGJ3I88239")</f>
        <v>DGJ3I88239</v>
      </c>
      <c r="B133" s="3" t="str">
        <f>IFERROR(__xludf.DUMMYFUNCTION("""COMPUTED_VALUE"""),"Asmaul hosna")</f>
        <v>Asmaul hosna</v>
      </c>
      <c r="C133" s="3" t="str">
        <f>IFERROR(__xludf.DUMMYFUNCTION("""COMPUTED_VALUE"""),"rodoshichoudhury50@gmail.com")</f>
        <v>rodoshichoudhury50@gmail.com</v>
      </c>
      <c r="D133" s="3" t="str">
        <f>IFERROR(__xludf.DUMMYFUNCTION("""COMPUTED_VALUE"""),"01734121780")</f>
        <v>01734121780</v>
      </c>
      <c r="E133" s="3" t="str">
        <f>IFERROR(__xludf.DUMMYFUNCTION("""COMPUTED_VALUE"""),"2xl")</f>
        <v>2xl</v>
      </c>
      <c r="F133" s="3">
        <v>632.0</v>
      </c>
    </row>
    <row r="134">
      <c r="A134" s="3" t="str">
        <f>IFERROR(__xludf.DUMMYFUNCTION("""COMPUTED_VALUE"""),"DGJ1I8D417")</f>
        <v>DGJ1I8D417</v>
      </c>
      <c r="B134" s="3" t="str">
        <f>IFERROR(__xludf.DUMMYFUNCTION("""COMPUTED_VALUE"""),"Md. Tasnim Hassan ")</f>
        <v>Md. Tasnim Hassan </v>
      </c>
      <c r="C134" s="3" t="str">
        <f>IFERROR(__xludf.DUMMYFUNCTION("""COMPUTED_VALUE"""),"tasnimtapos@gmail.com")</f>
        <v>tasnimtapos@gmail.com</v>
      </c>
      <c r="D134" s="3" t="str">
        <f>IFERROR(__xludf.DUMMYFUNCTION("""COMPUTED_VALUE"""),"01768836893")</f>
        <v>01768836893</v>
      </c>
      <c r="E134" s="3" t="str">
        <f>IFERROR(__xludf.DUMMYFUNCTION("""COMPUTED_VALUE"""),"M")</f>
        <v>M</v>
      </c>
      <c r="F134" s="3">
        <v>633.0</v>
      </c>
    </row>
    <row r="135">
      <c r="A135" s="3" t="str">
        <f>IFERROR(__xludf.DUMMYFUNCTION("""COMPUTED_VALUE"""),"DGJ1IBRI75")</f>
        <v>DGJ1IBRI75</v>
      </c>
      <c r="B135" s="3" t="str">
        <f>IFERROR(__xludf.DUMMYFUNCTION("""COMPUTED_VALUE"""),"Prianka Mondol")</f>
        <v>Prianka Mondol</v>
      </c>
      <c r="C135" s="3" t="str">
        <f>IFERROR(__xludf.DUMMYFUNCTION("""COMPUTED_VALUE"""),"priankamondol026@gmail")</f>
        <v>priankamondol026@gmail</v>
      </c>
      <c r="D135" s="3" t="str">
        <f>IFERROR(__xludf.DUMMYFUNCTION("""COMPUTED_VALUE"""),"01620994482")</f>
        <v>01620994482</v>
      </c>
      <c r="E135" s="3" t="str">
        <f>IFERROR(__xludf.DUMMYFUNCTION("""COMPUTED_VALUE"""),"M")</f>
        <v>M</v>
      </c>
      <c r="F135" s="3">
        <v>634.0</v>
      </c>
    </row>
    <row r="136">
      <c r="A136" s="3" t="str">
        <f>IFERROR(__xludf.DUMMYFUNCTION("""COMPUTED_VALUE"""),"DGJ7IHWTFV")</f>
        <v>DGJ7IHWTFV</v>
      </c>
      <c r="B136" s="3" t="str">
        <f>IFERROR(__xludf.DUMMYFUNCTION("""COMPUTED_VALUE"""),"Abdullah Al Jubair ")</f>
        <v>Abdullah Al Jubair </v>
      </c>
      <c r="C136" s="3" t="str">
        <f>IFERROR(__xludf.DUMMYFUNCTION("""COMPUTED_VALUE"""),"abdullahaljubair2000@gmail.com")</f>
        <v>abdullahaljubair2000@gmail.com</v>
      </c>
      <c r="D136" s="3" t="str">
        <f>IFERROR(__xludf.DUMMYFUNCTION("""COMPUTED_VALUE"""),"01558988138")</f>
        <v>01558988138</v>
      </c>
      <c r="E136" s="3" t="str">
        <f>IFERROR(__xludf.DUMMYFUNCTION("""COMPUTED_VALUE"""),"XL")</f>
        <v>XL</v>
      </c>
      <c r="F136" s="3">
        <v>635.0</v>
      </c>
    </row>
    <row r="137">
      <c r="A137" s="3" t="str">
        <f>IFERROR(__xludf.DUMMYFUNCTION("""COMPUTED_VALUE"""),"DGJ0IO83FW")</f>
        <v>DGJ0IO83FW</v>
      </c>
      <c r="B137" s="3" t="str">
        <f>IFERROR(__xludf.DUMMYFUNCTION("""COMPUTED_VALUE"""),"Mehedi Hasan Remon ")</f>
        <v>Mehedi Hasan Remon </v>
      </c>
      <c r="C137" s="3" t="str">
        <f>IFERROR(__xludf.DUMMYFUNCTION("""COMPUTED_VALUE"""),"mhremon765@gmail.com")</f>
        <v>mhremon765@gmail.com</v>
      </c>
      <c r="D137" s="3" t="str">
        <f>IFERROR(__xludf.DUMMYFUNCTION("""COMPUTED_VALUE"""),"01794295584")</f>
        <v>01794295584</v>
      </c>
      <c r="E137" s="3" t="str">
        <f>IFERROR(__xludf.DUMMYFUNCTION("""COMPUTED_VALUE"""),"XL")</f>
        <v>XL</v>
      </c>
      <c r="F137" s="3">
        <v>636.0</v>
      </c>
    </row>
    <row r="138">
      <c r="A138" s="3" t="str">
        <f>IFERROR(__xludf.DUMMYFUNCTION("""COMPUTED_VALUE"""),"DGJ4IOC4II")</f>
        <v>DGJ4IOC4II</v>
      </c>
      <c r="B138" s="3" t="str">
        <f>IFERROR(__xludf.DUMMYFUNCTION("""COMPUTED_VALUE"""),"Md. Arif Hossen")</f>
        <v>Md. Arif Hossen</v>
      </c>
      <c r="C138" s="3" t="str">
        <f>IFERROR(__xludf.DUMMYFUNCTION("""COMPUTED_VALUE"""),"mdarifhossen1201@gmail.com")</f>
        <v>mdarifhossen1201@gmail.com</v>
      </c>
      <c r="D138" s="3" t="str">
        <f>IFERROR(__xludf.DUMMYFUNCTION("""COMPUTED_VALUE"""),"01750054179")</f>
        <v>01750054179</v>
      </c>
      <c r="E138" s="3" t="str">
        <f>IFERROR(__xludf.DUMMYFUNCTION("""COMPUTED_VALUE"""),"XL")</f>
        <v>XL</v>
      </c>
      <c r="F138" s="3">
        <v>637.0</v>
      </c>
    </row>
    <row r="139">
      <c r="A139" s="3" t="str">
        <f>IFERROR(__xludf.DUMMYFUNCTION("""COMPUTED_VALUE"""),"DGJ3IPN7GT")</f>
        <v>DGJ3IPN7GT</v>
      </c>
      <c r="B139" s="3" t="str">
        <f>IFERROR(__xludf.DUMMYFUNCTION("""COMPUTED_VALUE"""),"Mst. Faiza Tun Noor ")</f>
        <v>Mst. Faiza Tun Noor </v>
      </c>
      <c r="C139" s="3" t="str">
        <f>IFERROR(__xludf.DUMMYFUNCTION("""COMPUTED_VALUE"""),"noorfaiza4909@gmail.com")</f>
        <v>noorfaiza4909@gmail.com</v>
      </c>
      <c r="D139" s="3" t="str">
        <f>IFERROR(__xludf.DUMMYFUNCTION("""COMPUTED_VALUE"""),"01734280294")</f>
        <v>01734280294</v>
      </c>
      <c r="E139" s="3" t="str">
        <f>IFERROR(__xludf.DUMMYFUNCTION("""COMPUTED_VALUE"""),"M")</f>
        <v>M</v>
      </c>
      <c r="F139" s="3">
        <v>638.0</v>
      </c>
    </row>
    <row r="140">
      <c r="A140" s="3" t="str">
        <f>IFERROR(__xludf.DUMMYFUNCTION("""COMPUTED_VALUE"""),"DGJ7IPPFNV")</f>
        <v>DGJ7IPPFNV</v>
      </c>
      <c r="B140" s="3" t="str">
        <f>IFERROR(__xludf.DUMMYFUNCTION("""COMPUTED_VALUE"""),"Mahmudul Hasan Limon")</f>
        <v>Mahmudul Hasan Limon</v>
      </c>
      <c r="C140" s="3" t="str">
        <f>IFERROR(__xludf.DUMMYFUNCTION("""COMPUTED_VALUE"""),"mahmudulhasanlimon01@gmail.com")</f>
        <v>mahmudulhasanlimon01@gmail.com</v>
      </c>
      <c r="D140" s="3" t="str">
        <f>IFERROR(__xludf.DUMMYFUNCTION("""COMPUTED_VALUE"""),"01770026151")</f>
        <v>01770026151</v>
      </c>
      <c r="E140" s="3" t="str">
        <f>IFERROR(__xludf.DUMMYFUNCTION("""COMPUTED_VALUE"""),"L")</f>
        <v>L</v>
      </c>
      <c r="F140" s="3">
        <v>639.0</v>
      </c>
    </row>
    <row r="141">
      <c r="A141" s="3" t="str">
        <f>IFERROR(__xludf.DUMMYFUNCTION("""COMPUTED_VALUE"""),"DGJ1IQ3UMH")</f>
        <v>DGJ1IQ3UMH</v>
      </c>
      <c r="B141" s="3" t="str">
        <f>IFERROR(__xludf.DUMMYFUNCTION("""COMPUTED_VALUE"""),"Sumya Ajad Choity ")</f>
        <v>Sumya Ajad Choity </v>
      </c>
      <c r="C141" s="3" t="str">
        <f>IFERROR(__xludf.DUMMYFUNCTION("""COMPUTED_VALUE"""),"20222856234choity@juniv.edu")</f>
        <v>20222856234choity@juniv.edu</v>
      </c>
      <c r="D141" s="3" t="str">
        <f>IFERROR(__xludf.DUMMYFUNCTION("""COMPUTED_VALUE"""),"01973342705")</f>
        <v>01973342705</v>
      </c>
      <c r="E141" s="3" t="str">
        <f>IFERROR(__xludf.DUMMYFUNCTION("""COMPUTED_VALUE"""),"XL")</f>
        <v>XL</v>
      </c>
      <c r="F141" s="3">
        <v>640.0</v>
      </c>
    </row>
    <row r="142">
      <c r="A142" s="3" t="str">
        <f>IFERROR(__xludf.DUMMYFUNCTION("""COMPUTED_VALUE"""),"DGJ0IQ5POM")</f>
        <v>DGJ0IQ5POM</v>
      </c>
      <c r="B142" s="3" t="str">
        <f>IFERROR(__xludf.DUMMYFUNCTION("""COMPUTED_VALUE"""),"Elora Rashid ")</f>
        <v>Elora Rashid </v>
      </c>
      <c r="C142" s="3" t="str">
        <f>IFERROR(__xludf.DUMMYFUNCTION("""COMPUTED_VALUE"""),"elora.stu2019@juniv.edu")</f>
        <v>elora.stu2019@juniv.edu</v>
      </c>
      <c r="D142" s="3" t="str">
        <f>IFERROR(__xludf.DUMMYFUNCTION("""COMPUTED_VALUE"""),"01774433985")</f>
        <v>01774433985</v>
      </c>
      <c r="E142" s="3" t="str">
        <f>IFERROR(__xludf.DUMMYFUNCTION("""COMPUTED_VALUE"""),"M")</f>
        <v>M</v>
      </c>
      <c r="F142" s="3">
        <v>641.0</v>
      </c>
    </row>
    <row r="143">
      <c r="A143" s="3" t="str">
        <f>IFERROR(__xludf.DUMMYFUNCTION("""COMPUTED_VALUE"""),"DGJ3IQ6RSX")</f>
        <v>DGJ3IQ6RSX</v>
      </c>
      <c r="B143" s="3" t="str">
        <f>IFERROR(__xludf.DUMMYFUNCTION("""COMPUTED_VALUE"""),"Samia Kabir Heya")</f>
        <v>Samia Kabir Heya</v>
      </c>
      <c r="C143" s="3" t="str">
        <f>IFERROR(__xludf.DUMMYFUNCTION("""COMPUTED_VALUE"""),"samiakabir033@gmail.com")</f>
        <v>samiakabir033@gmail.com</v>
      </c>
      <c r="D143" s="3" t="str">
        <f>IFERROR(__xludf.DUMMYFUNCTION("""COMPUTED_VALUE"""),"01714073215")</f>
        <v>01714073215</v>
      </c>
      <c r="E143" s="3" t="str">
        <f>IFERROR(__xludf.DUMMYFUNCTION("""COMPUTED_VALUE"""),"S")</f>
        <v>S</v>
      </c>
      <c r="F143" s="3">
        <v>642.0</v>
      </c>
    </row>
    <row r="144">
      <c r="A144" s="3" t="str">
        <f>IFERROR(__xludf.DUMMYFUNCTION("""COMPUTED_VALUE"""),"DGJ1IQDJ3H")</f>
        <v>DGJ1IQDJ3H</v>
      </c>
      <c r="B144" s="3" t="str">
        <f>IFERROR(__xludf.DUMMYFUNCTION("""COMPUTED_VALUE"""),"Abu Ayub MD Tamjid ")</f>
        <v>Abu Ayub MD Tamjid </v>
      </c>
      <c r="C144" s="3" t="str">
        <f>IFERROR(__xludf.DUMMYFUNCTION("""COMPUTED_VALUE"""),"tamjid125967@gmail.com")</f>
        <v>tamjid125967@gmail.com</v>
      </c>
      <c r="D144" s="3" t="str">
        <f>IFERROR(__xludf.DUMMYFUNCTION("""COMPUTED_VALUE"""),"01876221741")</f>
        <v>01876221741</v>
      </c>
      <c r="E144" s="3" t="str">
        <f>IFERROR(__xludf.DUMMYFUNCTION("""COMPUTED_VALUE"""),"L")</f>
        <v>L</v>
      </c>
      <c r="F144" s="3">
        <v>643.0</v>
      </c>
    </row>
    <row r="145">
      <c r="A145" s="3" t="str">
        <f>IFERROR(__xludf.DUMMYFUNCTION("""COMPUTED_VALUE"""),"DGJ7IQM3BH")</f>
        <v>DGJ7IQM3BH</v>
      </c>
      <c r="B145" s="3" t="str">
        <f>IFERROR(__xludf.DUMMYFUNCTION("""COMPUTED_VALUE"""),"Antu Dev Nath")</f>
        <v>Antu Dev Nath</v>
      </c>
      <c r="C145" s="3" t="str">
        <f>IFERROR(__xludf.DUMMYFUNCTION("""COMPUTED_VALUE"""),"devnathantu2@gmail.com")</f>
        <v>devnathantu2@gmail.com</v>
      </c>
      <c r="D145" s="3" t="str">
        <f>IFERROR(__xludf.DUMMYFUNCTION("""COMPUTED_VALUE"""),"01310558331")</f>
        <v>01310558331</v>
      </c>
      <c r="E145" s="3" t="str">
        <f>IFERROR(__xludf.DUMMYFUNCTION("""COMPUTED_VALUE"""),"M")</f>
        <v>M</v>
      </c>
      <c r="F145" s="3">
        <v>644.0</v>
      </c>
    </row>
    <row r="146">
      <c r="A146" s="3" t="str">
        <f>IFERROR(__xludf.DUMMYFUNCTION("""COMPUTED_VALUE"""),"DGJ0IQLMMQ")</f>
        <v>DGJ0IQLMMQ</v>
      </c>
      <c r="B146" s="3" t="str">
        <f>IFERROR(__xludf.DUMMYFUNCTION("""COMPUTED_VALUE"""),"Redwan Alam Omio ")</f>
        <v>Redwan Alam Omio </v>
      </c>
      <c r="C146" s="3" t="str">
        <f>IFERROR(__xludf.DUMMYFUNCTION("""COMPUTED_VALUE"""),"redwanalam45@gmail.com")</f>
        <v>redwanalam45@gmail.com</v>
      </c>
      <c r="D146" s="3" t="str">
        <f>IFERROR(__xludf.DUMMYFUNCTION("""COMPUTED_VALUE"""),"01619877541")</f>
        <v>01619877541</v>
      </c>
      <c r="E146" s="3" t="str">
        <f>IFERROR(__xludf.DUMMYFUNCTION("""COMPUTED_VALUE"""),"L")</f>
        <v>L</v>
      </c>
      <c r="F146" s="3">
        <v>645.0</v>
      </c>
    </row>
    <row r="147">
      <c r="A147" s="3" t="str">
        <f>IFERROR(__xludf.DUMMYFUNCTION("""COMPUTED_VALUE"""),"DGJ2IQSI1Q")</f>
        <v>DGJ2IQSI1Q</v>
      </c>
      <c r="B147" s="3" t="str">
        <f>IFERROR(__xludf.DUMMYFUNCTION("""COMPUTED_VALUE"""),"Mst Khadiza Akther")</f>
        <v>Mst Khadiza Akther</v>
      </c>
      <c r="C147" s="3" t="str">
        <f>IFERROR(__xludf.DUMMYFUNCTION("""COMPUTED_VALUE"""),"akhadiza984@gmail.com")</f>
        <v>akhadiza984@gmail.com</v>
      </c>
      <c r="D147" s="3" t="str">
        <f>IFERROR(__xludf.DUMMYFUNCTION("""COMPUTED_VALUE"""),"01648926568")</f>
        <v>01648926568</v>
      </c>
      <c r="E147" s="3" t="str">
        <f>IFERROR(__xludf.DUMMYFUNCTION("""COMPUTED_VALUE"""),"L")</f>
        <v>L</v>
      </c>
      <c r="F147" s="3">
        <v>646.0</v>
      </c>
    </row>
    <row r="148">
      <c r="A148" s="3" t="str">
        <f>IFERROR(__xludf.DUMMYFUNCTION("""COMPUTED_VALUE"""),"DGJ6IU9M16")</f>
        <v>DGJ6IU9M16</v>
      </c>
      <c r="B148" s="3" t="str">
        <f>IFERROR(__xludf.DUMMYFUNCTION("""COMPUTED_VALUE"""),"Zakia Binta Syeed ")</f>
        <v>Zakia Binta Syeed </v>
      </c>
      <c r="C148" s="3" t="str">
        <f>IFERROR(__xludf.DUMMYFUNCTION("""COMPUTED_VALUE"""),"20220655008zakia@juniv.edu")</f>
        <v>20220655008zakia@juniv.edu</v>
      </c>
      <c r="D148" s="3" t="str">
        <f>IFERROR(__xludf.DUMMYFUNCTION("""COMPUTED_VALUE"""),"01566010018")</f>
        <v>01566010018</v>
      </c>
      <c r="E148" s="3" t="str">
        <f>IFERROR(__xludf.DUMMYFUNCTION("""COMPUTED_VALUE"""),"M")</f>
        <v>M</v>
      </c>
      <c r="F148" s="3">
        <v>647.0</v>
      </c>
    </row>
    <row r="149">
      <c r="A149" s="3" t="str">
        <f>IFERROR(__xludf.DUMMYFUNCTION("""COMPUTED_VALUE"""),"DGJ9IW20CF")</f>
        <v>DGJ9IW20CF</v>
      </c>
      <c r="B149" s="3" t="str">
        <f>IFERROR(__xludf.DUMMYFUNCTION("""COMPUTED_VALUE"""),"Labannoa Aurpita Islam")</f>
        <v>Labannoa Aurpita Islam</v>
      </c>
      <c r="C149" s="3" t="str">
        <f>IFERROR(__xludf.DUMMYFUNCTION("""COMPUTED_VALUE"""),"aurpitalabannoa@gmail.com")</f>
        <v>aurpitalabannoa@gmail.com</v>
      </c>
      <c r="D149" s="3" t="str">
        <f>IFERROR(__xludf.DUMMYFUNCTION("""COMPUTED_VALUE"""),"01821850668")</f>
        <v>01821850668</v>
      </c>
      <c r="E149" s="3" t="str">
        <f>IFERROR(__xludf.DUMMYFUNCTION("""COMPUTED_VALUE"""),"XL")</f>
        <v>XL</v>
      </c>
      <c r="F149" s="3">
        <v>648.0</v>
      </c>
    </row>
    <row r="150">
      <c r="A150" s="3" t="str">
        <f>IFERROR(__xludf.DUMMYFUNCTION("""COMPUTED_VALUE"""),"DGJ6J0JCLA")</f>
        <v>DGJ6J0JCLA</v>
      </c>
      <c r="B150" s="3" t="str">
        <f>IFERROR(__xludf.DUMMYFUNCTION("""COMPUTED_VALUE"""),"Shammi Aysha")</f>
        <v>Shammi Aysha</v>
      </c>
      <c r="C150" s="3" t="str">
        <f>IFERROR(__xludf.DUMMYFUNCTION("""COMPUTED_VALUE"""),"Shammiaysha10@gmail.com")</f>
        <v>Shammiaysha10@gmail.com</v>
      </c>
      <c r="D150" s="3" t="str">
        <f>IFERROR(__xludf.DUMMYFUNCTION("""COMPUTED_VALUE"""),"01896222232")</f>
        <v>01896222232</v>
      </c>
      <c r="E150" s="3" t="str">
        <f>IFERROR(__xludf.DUMMYFUNCTION("""COMPUTED_VALUE"""),"L")</f>
        <v>L</v>
      </c>
      <c r="F150" s="3">
        <v>649.0</v>
      </c>
    </row>
    <row r="151">
      <c r="A151" s="3" t="str">
        <f>IFERROR(__xludf.DUMMYFUNCTION("""COMPUTED_VALUE"""),"DGJ0J15IOI")</f>
        <v>DGJ0J15IOI</v>
      </c>
      <c r="B151" s="3" t="str">
        <f>IFERROR(__xludf.DUMMYFUNCTION("""COMPUTED_VALUE"""),"maliha islam")</f>
        <v>maliha islam</v>
      </c>
      <c r="C151" s="3" t="str">
        <f>IFERROR(__xludf.DUMMYFUNCTION("""COMPUTED_VALUE"""),"malihaislam1850@gmail.com")</f>
        <v>malihaislam1850@gmail.com</v>
      </c>
      <c r="D151" s="3" t="str">
        <f>IFERROR(__xludf.DUMMYFUNCTION("""COMPUTED_VALUE"""),"01327176909")</f>
        <v>01327176909</v>
      </c>
      <c r="E151" s="3" t="str">
        <f>IFERROR(__xludf.DUMMYFUNCTION("""COMPUTED_VALUE"""),"Xl")</f>
        <v>Xl</v>
      </c>
      <c r="F151" s="3">
        <v>650.0</v>
      </c>
    </row>
    <row r="152">
      <c r="A152" s="3" t="str">
        <f>IFERROR(__xludf.DUMMYFUNCTION("""COMPUTED_VALUE"""),"DGJ2J1UWXM")</f>
        <v>DGJ2J1UWXM</v>
      </c>
      <c r="B152" s="3" t="str">
        <f>IFERROR(__xludf.DUMMYFUNCTION("""COMPUTED_VALUE"""),"Rezaul Karim ")</f>
        <v>Rezaul Karim </v>
      </c>
      <c r="C152" s="3" t="str">
        <f>IFERROR(__xludf.DUMMYFUNCTION("""COMPUTED_VALUE"""),"rezasunny972@gmail.com")</f>
        <v>rezasunny972@gmail.com</v>
      </c>
      <c r="D152" s="3" t="str">
        <f>IFERROR(__xludf.DUMMYFUNCTION("""COMPUTED_VALUE"""),"01723292438")</f>
        <v>01723292438</v>
      </c>
      <c r="E152" s="3" t="str">
        <f>IFERROR(__xludf.DUMMYFUNCTION("""COMPUTED_VALUE"""),"L")</f>
        <v>L</v>
      </c>
      <c r="F152" s="3">
        <v>651.0</v>
      </c>
    </row>
    <row r="153">
      <c r="A153" s="3" t="str">
        <f>IFERROR(__xludf.DUMMYFUNCTION("""COMPUTED_VALUE"""),"DGJ6J1TLYM")</f>
        <v>DGJ6J1TLYM</v>
      </c>
      <c r="B153" s="3" t="str">
        <f>IFERROR(__xludf.DUMMYFUNCTION("""COMPUTED_VALUE"""),"Rownak Ashique Haque ")</f>
        <v>Rownak Ashique Haque </v>
      </c>
      <c r="C153" s="3" t="str">
        <f>IFERROR(__xludf.DUMMYFUNCTION("""COMPUTED_VALUE"""),"rownakashique911@gmail.com")</f>
        <v>rownakashique911@gmail.com</v>
      </c>
      <c r="D153" s="3" t="str">
        <f>IFERROR(__xludf.DUMMYFUNCTION("""COMPUTED_VALUE"""),"01768970423")</f>
        <v>01768970423</v>
      </c>
      <c r="E153" s="3" t="str">
        <f>IFERROR(__xludf.DUMMYFUNCTION("""COMPUTED_VALUE"""),"2xl")</f>
        <v>2xl</v>
      </c>
      <c r="F153" s="3">
        <v>652.0</v>
      </c>
    </row>
    <row r="154">
      <c r="A154" s="3" t="str">
        <f>IFERROR(__xludf.DUMMYFUNCTION("""COMPUTED_VALUE"""),"DGJ3J2B7NL")</f>
        <v>DGJ3J2B7NL</v>
      </c>
      <c r="B154" s="3" t="str">
        <f>IFERROR(__xludf.DUMMYFUNCTION("""COMPUTED_VALUE"""),"Ahmed Sakib ")</f>
        <v>Ahmed Sakib </v>
      </c>
      <c r="C154" s="3" t="str">
        <f>IFERROR(__xludf.DUMMYFUNCTION("""COMPUTED_VALUE"""),"saqibian76@gmail.com")</f>
        <v>saqibian76@gmail.com</v>
      </c>
      <c r="D154" s="3" t="str">
        <f>IFERROR(__xludf.DUMMYFUNCTION("""COMPUTED_VALUE"""),"01521710683")</f>
        <v>01521710683</v>
      </c>
      <c r="E154" s="3" t="str">
        <f>IFERROR(__xludf.DUMMYFUNCTION("""COMPUTED_VALUE"""),"L")</f>
        <v>L</v>
      </c>
      <c r="F154" s="3">
        <v>653.0</v>
      </c>
    </row>
    <row r="155">
      <c r="A155" s="3" t="str">
        <f>IFERROR(__xludf.DUMMYFUNCTION("""COMPUTED_VALUE"""),"DGJ3J2F2WN")</f>
        <v>DGJ3J2F2WN</v>
      </c>
      <c r="B155" s="3" t="str">
        <f>IFERROR(__xludf.DUMMYFUNCTION("""COMPUTED_VALUE"""),"Tanisa Islam")</f>
        <v>Tanisa Islam</v>
      </c>
      <c r="C155" s="3" t="str">
        <f>IFERROR(__xludf.DUMMYFUNCTION("""COMPUTED_VALUE"""),"tanic08acid@gmail.com")</f>
        <v>tanic08acid@gmail.com</v>
      </c>
      <c r="D155" s="3" t="str">
        <f>IFERROR(__xludf.DUMMYFUNCTION("""COMPUTED_VALUE"""),"01726986374")</f>
        <v>01726986374</v>
      </c>
      <c r="E155" s="3" t="str">
        <f>IFERROR(__xludf.DUMMYFUNCTION("""COMPUTED_VALUE"""),"L")</f>
        <v>L</v>
      </c>
      <c r="F155" s="3">
        <v>654.0</v>
      </c>
    </row>
    <row r="156">
      <c r="A156" s="3" t="str">
        <f>IFERROR(__xludf.DUMMYFUNCTION("""COMPUTED_VALUE"""),"DGJ6J3YLXQ")</f>
        <v>DGJ6J3YLXQ</v>
      </c>
      <c r="B156" s="3" t="str">
        <f>IFERROR(__xludf.DUMMYFUNCTION("""COMPUTED_VALUE"""),"Maliha Binte Atik ")</f>
        <v>Maliha Binte Atik </v>
      </c>
      <c r="C156" s="3" t="str">
        <f>IFERROR(__xludf.DUMMYFUNCTION("""COMPUTED_VALUE"""),"maliha.16a@gmail.com")</f>
        <v>maliha.16a@gmail.com</v>
      </c>
      <c r="D156" s="3" t="str">
        <f>IFERROR(__xludf.DUMMYFUNCTION("""COMPUTED_VALUE"""),"01331471491")</f>
        <v>01331471491</v>
      </c>
      <c r="E156" s="3" t="str">
        <f>IFERROR(__xludf.DUMMYFUNCTION("""COMPUTED_VALUE"""),"XL")</f>
        <v>XL</v>
      </c>
      <c r="F156" s="3">
        <v>655.0</v>
      </c>
    </row>
    <row r="157">
      <c r="A157" s="3" t="str">
        <f>IFERROR(__xludf.DUMMYFUNCTION("""COMPUTED_VALUE"""),"DGJ4J44LGU")</f>
        <v>DGJ4J44LGU</v>
      </c>
      <c r="B157" s="3" t="str">
        <f>IFERROR(__xludf.DUMMYFUNCTION("""COMPUTED_VALUE"""),"Jarin Tasnim Jasi")</f>
        <v>Jarin Tasnim Jasi</v>
      </c>
      <c r="C157" s="3" t="str">
        <f>IFERROR(__xludf.DUMMYFUNCTION("""COMPUTED_VALUE"""),"jasihasan6@gmail.com")</f>
        <v>jasihasan6@gmail.com</v>
      </c>
      <c r="D157" s="3" t="str">
        <f>IFERROR(__xludf.DUMMYFUNCTION("""COMPUTED_VALUE"""),"01982784892")</f>
        <v>01982784892</v>
      </c>
      <c r="E157" s="3" t="str">
        <f>IFERROR(__xludf.DUMMYFUNCTION("""COMPUTED_VALUE"""),"XL")</f>
        <v>XL</v>
      </c>
      <c r="F157" s="3">
        <v>656.0</v>
      </c>
    </row>
    <row r="158">
      <c r="A158" s="3" t="str">
        <f>IFERROR(__xludf.DUMMYFUNCTION("""COMPUTED_VALUE"""),"DGJ3J54JYR")</f>
        <v>DGJ3J54JYR</v>
      </c>
      <c r="B158" s="3" t="str">
        <f>IFERROR(__xludf.DUMMYFUNCTION("""COMPUTED_VALUE"""),"Sadia Anjum Opi ")</f>
        <v>Sadia Anjum Opi </v>
      </c>
      <c r="C158" s="3" t="str">
        <f>IFERROR(__xludf.DUMMYFUNCTION("""COMPUTED_VALUE"""),"anjumopi2020@gmail.com")</f>
        <v>anjumopi2020@gmail.com</v>
      </c>
      <c r="D158" s="3" t="str">
        <f>IFERROR(__xludf.DUMMYFUNCTION("""COMPUTED_VALUE"""),"01308699955")</f>
        <v>01308699955</v>
      </c>
      <c r="E158" s="3" t="str">
        <f>IFERROR(__xludf.DUMMYFUNCTION("""COMPUTED_VALUE"""),"2XL")</f>
        <v>2XL</v>
      </c>
      <c r="F158" s="3">
        <v>657.0</v>
      </c>
    </row>
    <row r="159">
      <c r="A159" s="3" t="str">
        <f>IFERROR(__xludf.DUMMYFUNCTION("""COMPUTED_VALUE"""),"DGJ6J5JK62")</f>
        <v>DGJ6J5JK62</v>
      </c>
      <c r="B159" s="3" t="str">
        <f>IFERROR(__xludf.DUMMYFUNCTION("""COMPUTED_VALUE"""),"BADHON CHANDRO OJHA")</f>
        <v>BADHON CHANDRO OJHA</v>
      </c>
      <c r="C159" s="3" t="str">
        <f>IFERROR(__xludf.DUMMYFUNCTION("""COMPUTED_VALUE"""),"badhanbadhan102@gmail.com")</f>
        <v>badhanbadhan102@gmail.com</v>
      </c>
      <c r="D159" s="3" t="str">
        <f>IFERROR(__xludf.DUMMYFUNCTION("""COMPUTED_VALUE"""),"01318395988")</f>
        <v>01318395988</v>
      </c>
      <c r="E159" s="3" t="str">
        <f>IFERROR(__xludf.DUMMYFUNCTION("""COMPUTED_VALUE"""),"L")</f>
        <v>L</v>
      </c>
      <c r="F159" s="3">
        <v>658.0</v>
      </c>
    </row>
    <row r="160">
      <c r="A160" s="3" t="str">
        <f>IFERROR(__xludf.DUMMYFUNCTION("""COMPUTED_VALUE"""),"DGJ5J5MT05")</f>
        <v>DGJ5J5MT05</v>
      </c>
      <c r="B160" s="3" t="str">
        <f>IFERROR(__xludf.DUMMYFUNCTION("""COMPUTED_VALUE"""),"MAZHAR")</f>
        <v>MAZHAR</v>
      </c>
      <c r="C160" s="3" t="str">
        <f>IFERROR(__xludf.DUMMYFUNCTION("""COMPUTED_VALUE"""),"mazharanik172@gmail.com")</f>
        <v>mazharanik172@gmail.com</v>
      </c>
      <c r="D160" s="3" t="str">
        <f>IFERROR(__xludf.DUMMYFUNCTION("""COMPUTED_VALUE"""),"01858631274")</f>
        <v>01858631274</v>
      </c>
      <c r="E160" s="3" t="str">
        <f>IFERROR(__xludf.DUMMYFUNCTION("""COMPUTED_VALUE"""),"XL")</f>
        <v>XL</v>
      </c>
      <c r="F160" s="3">
        <v>659.0</v>
      </c>
    </row>
    <row r="161">
      <c r="A161" s="3" t="str">
        <f>IFERROR(__xludf.DUMMYFUNCTION("""COMPUTED_VALUE"""),"DGJ2J5RBR8")</f>
        <v>DGJ2J5RBR8</v>
      </c>
      <c r="B161" s="3" t="str">
        <f>IFERROR(__xludf.DUMMYFUNCTION("""COMPUTED_VALUE"""),"SOWMIK")</f>
        <v>SOWMIK</v>
      </c>
      <c r="C161" s="3" t="str">
        <f>IFERROR(__xludf.DUMMYFUNCTION("""COMPUTED_VALUE"""),"sadmansakibsowmik@gmail.com")</f>
        <v>sadmansakibsowmik@gmail.com</v>
      </c>
      <c r="D161" s="3" t="str">
        <f>IFERROR(__xludf.DUMMYFUNCTION("""COMPUTED_VALUE"""),"01777931212")</f>
        <v>01777931212</v>
      </c>
      <c r="E161" s="3" t="str">
        <f>IFERROR(__xludf.DUMMYFUNCTION("""COMPUTED_VALUE"""),"L")</f>
        <v>L</v>
      </c>
      <c r="F161" s="3">
        <v>660.0</v>
      </c>
    </row>
    <row r="162">
      <c r="A162" s="3" t="str">
        <f>IFERROR(__xludf.DUMMYFUNCTION("""COMPUTED_VALUE"""),"DGJ1J97N17")</f>
        <v>DGJ1J97N17</v>
      </c>
      <c r="B162" s="3" t="str">
        <f>IFERROR(__xludf.DUMMYFUNCTION("""COMPUTED_VALUE"""),"Fatema Akter Shanta")</f>
        <v>Fatema Akter Shanta</v>
      </c>
      <c r="C162" s="3" t="str">
        <f>IFERROR(__xludf.DUMMYFUNCTION("""COMPUTED_VALUE"""),"ctoon1643@gmail.com")</f>
        <v>ctoon1643@gmail.com</v>
      </c>
      <c r="D162" s="3" t="str">
        <f>IFERROR(__xludf.DUMMYFUNCTION("""COMPUTED_VALUE"""),"01812129576")</f>
        <v>01812129576</v>
      </c>
      <c r="E162" s="3" t="str">
        <f>IFERROR(__xludf.DUMMYFUNCTION("""COMPUTED_VALUE"""),"XL")</f>
        <v>XL</v>
      </c>
      <c r="F162" s="3">
        <v>661.0</v>
      </c>
    </row>
    <row r="163">
      <c r="A163" s="3" t="str">
        <f>IFERROR(__xludf.DUMMYFUNCTION("""COMPUTED_VALUE"""),"DGJ8J9B5YK")</f>
        <v>DGJ8J9B5YK</v>
      </c>
      <c r="B163" s="3" t="str">
        <f>IFERROR(__xludf.DUMMYFUNCTION("""COMPUTED_VALUE"""),"Tasmiah Ali Saba")</f>
        <v>Tasmiah Ali Saba</v>
      </c>
      <c r="C163" s="3" t="str">
        <f>IFERROR(__xludf.DUMMYFUNCTION("""COMPUTED_VALUE"""),"tasmiahali03@gmail.com")</f>
        <v>tasmiahali03@gmail.com</v>
      </c>
      <c r="D163" s="3" t="str">
        <f>IFERROR(__xludf.DUMMYFUNCTION("""COMPUTED_VALUE"""),"01750400988")</f>
        <v>01750400988</v>
      </c>
      <c r="E163" s="3" t="str">
        <f>IFERROR(__xludf.DUMMYFUNCTION("""COMPUTED_VALUE"""),"XL")</f>
        <v>XL</v>
      </c>
      <c r="F163" s="3">
        <v>662.0</v>
      </c>
    </row>
    <row r="164">
      <c r="A164" s="3" t="str">
        <f>IFERROR(__xludf.DUMMYFUNCTION("""COMPUTED_VALUE"""),"DGJ5J9LNSP")</f>
        <v>DGJ5J9LNSP</v>
      </c>
      <c r="B164" s="3" t="str">
        <f>IFERROR(__xludf.DUMMYFUNCTION("""COMPUTED_VALUE"""),"Tandra biswas")</f>
        <v>Tandra biswas</v>
      </c>
      <c r="C164" s="3" t="str">
        <f>IFERROR(__xludf.DUMMYFUNCTION("""COMPUTED_VALUE"""),"tandraju48@gmail.com")</f>
        <v>tandraju48@gmail.com</v>
      </c>
      <c r="D164" s="3" t="str">
        <f>IFERROR(__xludf.DUMMYFUNCTION("""COMPUTED_VALUE"""),"01852369734")</f>
        <v>01852369734</v>
      </c>
      <c r="E164" s="3" t="str">
        <f>IFERROR(__xludf.DUMMYFUNCTION("""COMPUTED_VALUE"""),"L")</f>
        <v>L</v>
      </c>
      <c r="F164" s="3">
        <v>663.0</v>
      </c>
    </row>
    <row r="165">
      <c r="A165" s="3" t="str">
        <f>IFERROR(__xludf.DUMMYFUNCTION("""COMPUTED_VALUE"""),"DGJ6JA0RPK")</f>
        <v>DGJ6JA0RPK</v>
      </c>
      <c r="B165" s="3" t="str">
        <f>IFERROR(__xludf.DUMMYFUNCTION("""COMPUTED_VALUE"""),"Nafisa Ahmed ")</f>
        <v>Nafisa Ahmed </v>
      </c>
      <c r="C165" s="3" t="str">
        <f>IFERROR(__xludf.DUMMYFUNCTION("""COMPUTED_VALUE"""),"nafisaahmed149@gmail.com")</f>
        <v>nafisaahmed149@gmail.com</v>
      </c>
      <c r="D165" s="3" t="str">
        <f>IFERROR(__xludf.DUMMYFUNCTION("""COMPUTED_VALUE"""),"01783369535")</f>
        <v>01783369535</v>
      </c>
      <c r="E165" s="3" t="str">
        <f>IFERROR(__xludf.DUMMYFUNCTION("""COMPUTED_VALUE"""),"L")</f>
        <v>L</v>
      </c>
      <c r="F165" s="3">
        <v>664.0</v>
      </c>
    </row>
    <row r="166">
      <c r="A166" s="3" t="str">
        <f>IFERROR(__xludf.DUMMYFUNCTION("""COMPUTED_VALUE"""),"DGJ1JAOWKL")</f>
        <v>DGJ1JAOWKL</v>
      </c>
      <c r="B166" s="3" t="str">
        <f>IFERROR(__xludf.DUMMYFUNCTION("""COMPUTED_VALUE"""),"Naimur Rahman shipon ")</f>
        <v>Naimur Rahman shipon </v>
      </c>
      <c r="C166" s="3" t="str">
        <f>IFERROR(__xludf.DUMMYFUNCTION("""COMPUTED_VALUE"""),"shnaimur@gmail.com")</f>
        <v>shnaimur@gmail.com</v>
      </c>
      <c r="D166" s="3" t="str">
        <f>IFERROR(__xludf.DUMMYFUNCTION("""COMPUTED_VALUE"""),"01875604480")</f>
        <v>01875604480</v>
      </c>
      <c r="E166" s="3" t="str">
        <f>IFERROR(__xludf.DUMMYFUNCTION("""COMPUTED_VALUE"""),"XL")</f>
        <v>XL</v>
      </c>
      <c r="F166" s="3">
        <v>665.0</v>
      </c>
    </row>
    <row r="167">
      <c r="A167" s="3" t="str">
        <f>IFERROR(__xludf.DUMMYFUNCTION("""COMPUTED_VALUE"""),"DGJ1JC5IHZ")</f>
        <v>DGJ1JC5IHZ</v>
      </c>
      <c r="B167" s="3" t="str">
        <f>IFERROR(__xludf.DUMMYFUNCTION("""COMPUTED_VALUE"""),"Md. Rashedul Islam")</f>
        <v>Md. Rashedul Islam</v>
      </c>
      <c r="C167" s="3" t="str">
        <f>IFERROR(__xludf.DUMMYFUNCTION("""COMPUTED_VALUE"""),"rashedulislam0620@gmail.com")</f>
        <v>rashedulislam0620@gmail.com</v>
      </c>
      <c r="D167" s="3" t="str">
        <f>IFERROR(__xludf.DUMMYFUNCTION("""COMPUTED_VALUE"""),"01889020507")</f>
        <v>01889020507</v>
      </c>
      <c r="E167" s="3" t="str">
        <f>IFERROR(__xludf.DUMMYFUNCTION("""COMPUTED_VALUE"""),"M")</f>
        <v>M</v>
      </c>
      <c r="F167" s="3">
        <v>666.0</v>
      </c>
    </row>
    <row r="168">
      <c r="A168" s="3" t="str">
        <f>IFERROR(__xludf.DUMMYFUNCTION("""COMPUTED_VALUE"""),"DGJ9JCLPJ3")</f>
        <v>DGJ9JCLPJ3</v>
      </c>
      <c r="B168" s="3" t="str">
        <f>IFERROR(__xludf.DUMMYFUNCTION("""COMPUTED_VALUE"""),"Jahid Hasan ")</f>
        <v>Jahid Hasan </v>
      </c>
      <c r="C168" s="3" t="str">
        <f>IFERROR(__xludf.DUMMYFUNCTION("""COMPUTED_VALUE"""),"2227jahid@gmail.com")</f>
        <v>2227jahid@gmail.com</v>
      </c>
      <c r="D168" s="3" t="str">
        <f>IFERROR(__xludf.DUMMYFUNCTION("""COMPUTED_VALUE"""),"01303367443")</f>
        <v>01303367443</v>
      </c>
      <c r="E168" s="3" t="str">
        <f>IFERROR(__xludf.DUMMYFUNCTION("""COMPUTED_VALUE"""),"M")</f>
        <v>M</v>
      </c>
      <c r="F168" s="3">
        <v>667.0</v>
      </c>
    </row>
    <row r="169">
      <c r="A169" s="3" t="str">
        <f>IFERROR(__xludf.DUMMYFUNCTION("""COMPUTED_VALUE"""),"DGK9JD4V07")</f>
        <v>DGK9JD4V07</v>
      </c>
      <c r="B169" s="3" t="str">
        <f>IFERROR(__xludf.DUMMYFUNCTION("""COMPUTED_VALUE"""),"Kazi Mashfiq Hossain Mahi ")</f>
        <v>Kazi Mashfiq Hossain Mahi </v>
      </c>
      <c r="C169" s="3" t="str">
        <f>IFERROR(__xludf.DUMMYFUNCTION("""COMPUTED_VALUE"""),"kazimashfiqju@gmail.com")</f>
        <v>kazimashfiqju@gmail.com</v>
      </c>
      <c r="D169" s="3" t="str">
        <f>IFERROR(__xludf.DUMMYFUNCTION("""COMPUTED_VALUE"""),"01905201279")</f>
        <v>01905201279</v>
      </c>
      <c r="E169" s="3" t="str">
        <f>IFERROR(__xludf.DUMMYFUNCTION("""COMPUTED_VALUE"""),"XL")</f>
        <v>XL</v>
      </c>
      <c r="F169" s="3">
        <v>668.0</v>
      </c>
    </row>
    <row r="170">
      <c r="A170" s="3" t="str">
        <f>IFERROR(__xludf.DUMMYFUNCTION("""COMPUTED_VALUE"""),"DGJ4JCJNTM")</f>
        <v>DGJ4JCJNTM</v>
      </c>
      <c r="B170" s="3" t="str">
        <f>IFERROR(__xludf.DUMMYFUNCTION("""COMPUTED_VALUE"""),"Airin Sultana Urmi ")</f>
        <v>Airin Sultana Urmi </v>
      </c>
      <c r="C170" s="3" t="str">
        <f>IFERROR(__xludf.DUMMYFUNCTION("""COMPUTED_VALUE"""),"airinsultanaurmi@gmail.com")</f>
        <v>airinsultanaurmi@gmail.com</v>
      </c>
      <c r="D170" s="3" t="str">
        <f>IFERROR(__xludf.DUMMYFUNCTION("""COMPUTED_VALUE"""),"01758626728")</f>
        <v>01758626728</v>
      </c>
      <c r="E170" s="3" t="str">
        <f>IFERROR(__xludf.DUMMYFUNCTION("""COMPUTED_VALUE"""),"M")</f>
        <v>M</v>
      </c>
      <c r="F170" s="3">
        <v>669.0</v>
      </c>
    </row>
    <row r="171">
      <c r="A171" s="3" t="str">
        <f>IFERROR(__xludf.DUMMYFUNCTION("""COMPUTED_VALUE"""),"DGK6JDDHO0")</f>
        <v>DGK6JDDHO0</v>
      </c>
      <c r="B171" s="3" t="str">
        <f>IFERROR(__xludf.DUMMYFUNCTION("""COMPUTED_VALUE"""),"Imratul Islam")</f>
        <v>Imratul Islam</v>
      </c>
      <c r="C171" s="3" t="str">
        <f>IFERROR(__xludf.DUMMYFUNCTION("""COMPUTED_VALUE"""),"imratul181787@gmail.com")</f>
        <v>imratul181787@gmail.com</v>
      </c>
      <c r="D171" s="3" t="str">
        <f>IFERROR(__xludf.DUMMYFUNCTION("""COMPUTED_VALUE"""),"01645576166")</f>
        <v>01645576166</v>
      </c>
      <c r="E171" s="3" t="str">
        <f>IFERROR(__xludf.DUMMYFUNCTION("""COMPUTED_VALUE"""),"L")</f>
        <v>L</v>
      </c>
      <c r="F171" s="3">
        <v>670.0</v>
      </c>
    </row>
    <row r="172">
      <c r="A172" s="3" t="str">
        <f>IFERROR(__xludf.DUMMYFUNCTION("""COMPUTED_VALUE"""),"DGK1JEJGBH")</f>
        <v>DGK1JEJGBH</v>
      </c>
      <c r="B172" s="3" t="str">
        <f>IFERROR(__xludf.DUMMYFUNCTION("""COMPUTED_VALUE"""),"Rojina")</f>
        <v>Rojina</v>
      </c>
      <c r="C172" s="3" t="str">
        <f>IFERROR(__xludf.DUMMYFUNCTION("""COMPUTED_VALUE"""),"rojinakhatun.ju.sagc@gmail.com")</f>
        <v>rojinakhatun.ju.sagc@gmail.com</v>
      </c>
      <c r="D172" s="3" t="str">
        <f>IFERROR(__xludf.DUMMYFUNCTION("""COMPUTED_VALUE"""),"01777544187")</f>
        <v>01777544187</v>
      </c>
      <c r="E172" s="3" t="str">
        <f>IFERROR(__xludf.DUMMYFUNCTION("""COMPUTED_VALUE"""),"L")</f>
        <v>L</v>
      </c>
      <c r="F172" s="3">
        <v>671.0</v>
      </c>
    </row>
    <row r="173">
      <c r="A173" s="3" t="str">
        <f>IFERROR(__xludf.DUMMYFUNCTION("""COMPUTED_VALUE"""),"DGK5JFAH2R")</f>
        <v>DGK5JFAH2R</v>
      </c>
      <c r="B173" s="3" t="str">
        <f>IFERROR(__xludf.DUMMYFUNCTION("""COMPUTED_VALUE"""),"Pritom Goswami Ratul")</f>
        <v>Pritom Goswami Ratul</v>
      </c>
      <c r="C173" s="3" t="str">
        <f>IFERROR(__xludf.DUMMYFUNCTION("""COMPUTED_VALUE"""),"pritomratul@gmail.com")</f>
        <v>pritomratul@gmail.com</v>
      </c>
      <c r="D173" s="3" t="str">
        <f>IFERROR(__xludf.DUMMYFUNCTION("""COMPUTED_VALUE"""),"01763823885")</f>
        <v>01763823885</v>
      </c>
      <c r="E173" s="3" t="str">
        <f>IFERROR(__xludf.DUMMYFUNCTION("""COMPUTED_VALUE"""),"L")</f>
        <v>L</v>
      </c>
      <c r="F173" s="3">
        <v>672.0</v>
      </c>
    </row>
    <row r="174">
      <c r="A174" s="3" t="str">
        <f>IFERROR(__xludf.DUMMYFUNCTION("""COMPUTED_VALUE"""),"DGK4JFQ43M")</f>
        <v>DGK4JFQ43M</v>
      </c>
      <c r="B174" s="3" t="str">
        <f>IFERROR(__xludf.DUMMYFUNCTION("""COMPUTED_VALUE"""),"Jannatul Ferdous Ankhi")</f>
        <v>Jannatul Ferdous Ankhi</v>
      </c>
      <c r="C174" s="3" t="str">
        <f>IFERROR(__xludf.DUMMYFUNCTION("""COMPUTED_VALUE"""),"jannatankhi29@gmail.com")</f>
        <v>jannatankhi29@gmail.com</v>
      </c>
      <c r="D174" s="3" t="str">
        <f>IFERROR(__xludf.DUMMYFUNCTION("""COMPUTED_VALUE"""),"01851081474")</f>
        <v>01851081474</v>
      </c>
      <c r="E174" s="3" t="str">
        <f>IFERROR(__xludf.DUMMYFUNCTION("""COMPUTED_VALUE"""),"M")</f>
        <v>M</v>
      </c>
      <c r="F174" s="3">
        <v>673.0</v>
      </c>
    </row>
    <row r="175">
      <c r="A175" s="3" t="str">
        <f>IFERROR(__xludf.DUMMYFUNCTION("""COMPUTED_VALUE"""),"DGK8JFPY50")</f>
        <v>DGK8JFPY50</v>
      </c>
      <c r="B175" s="3" t="str">
        <f>IFERROR(__xludf.DUMMYFUNCTION("""COMPUTED_VALUE"""),"Monjarin Hossain Shawon ")</f>
        <v>Monjarin Hossain Shawon </v>
      </c>
      <c r="C175" s="3" t="str">
        <f>IFERROR(__xludf.DUMMYFUNCTION("""COMPUTED_VALUE"""),"monjarinshawon2@gmail.com")</f>
        <v>monjarinshawon2@gmail.com</v>
      </c>
      <c r="D175" s="3" t="str">
        <f>IFERROR(__xludf.DUMMYFUNCTION("""COMPUTED_VALUE"""),"01816289464")</f>
        <v>01816289464</v>
      </c>
      <c r="E175" s="3" t="str">
        <f>IFERROR(__xludf.DUMMYFUNCTION("""COMPUTED_VALUE"""),"L")</f>
        <v>L</v>
      </c>
      <c r="F175" s="3">
        <v>674.0</v>
      </c>
    </row>
    <row r="176">
      <c r="A176" s="3" t="str">
        <f>IFERROR(__xludf.DUMMYFUNCTION("""COMPUTED_VALUE"""),"DGK7JGGZ7T")</f>
        <v>DGK7JGGZ7T</v>
      </c>
      <c r="B176" s="3" t="str">
        <f>IFERROR(__xludf.DUMMYFUNCTION("""COMPUTED_VALUE"""),"MD Jawad Bin kalam")</f>
        <v>MD Jawad Bin kalam</v>
      </c>
      <c r="C176" s="3" t="str">
        <f>IFERROR(__xludf.DUMMYFUNCTION("""COMPUTED_VALUE"""),"jawadkalam1112@gmail.com")</f>
        <v>jawadkalam1112@gmail.com</v>
      </c>
      <c r="D176" s="3" t="str">
        <f>IFERROR(__xludf.DUMMYFUNCTION("""COMPUTED_VALUE"""),"01756209457")</f>
        <v>01756209457</v>
      </c>
      <c r="E176" s="3" t="str">
        <f>IFERROR(__xludf.DUMMYFUNCTION("""COMPUTED_VALUE"""),"2XL")</f>
        <v>2XL</v>
      </c>
      <c r="F176" s="3">
        <v>675.0</v>
      </c>
    </row>
    <row r="177">
      <c r="A177" s="3" t="str">
        <f>IFERROR(__xludf.DUMMYFUNCTION("""COMPUTED_VALUE"""),"DGK9JGIGLJ")</f>
        <v>DGK9JGIGLJ</v>
      </c>
      <c r="B177" s="3" t="str">
        <f>IFERROR(__xludf.DUMMYFUNCTION("""COMPUTED_VALUE"""),"Hadiya Hibah ")</f>
        <v>Hadiya Hibah </v>
      </c>
      <c r="C177" s="3" t="str">
        <f>IFERROR(__xludf.DUMMYFUNCTION("""COMPUTED_VALUE"""),"hadiyahibah@gmail.com")</f>
        <v>hadiyahibah@gmail.com</v>
      </c>
      <c r="D177" s="3" t="str">
        <f>IFERROR(__xludf.DUMMYFUNCTION("""COMPUTED_VALUE"""),"01886314035")</f>
        <v>01886314035</v>
      </c>
      <c r="E177" s="3" t="str">
        <f>IFERROR(__xludf.DUMMYFUNCTION("""COMPUTED_VALUE"""),"2xl")</f>
        <v>2xl</v>
      </c>
      <c r="F177" s="3">
        <v>676.0</v>
      </c>
    </row>
    <row r="178">
      <c r="A178" s="3" t="str">
        <f>IFERROR(__xludf.DUMMYFUNCTION("""COMPUTED_VALUE"""),"DGK7JH2XOR")</f>
        <v>DGK7JH2XOR</v>
      </c>
      <c r="B178" s="3" t="str">
        <f>IFERROR(__xludf.DUMMYFUNCTION("""COMPUTED_VALUE"""),"Md. Kaif Ibn Zaman ")</f>
        <v>Md. Kaif Ibn Zaman </v>
      </c>
      <c r="C178" s="3" t="str">
        <f>IFERROR(__xludf.DUMMYFUNCTION("""COMPUTED_VALUE"""),"mibnzaman02@gmail.com")</f>
        <v>mibnzaman02@gmail.com</v>
      </c>
      <c r="D178" s="3" t="str">
        <f>IFERROR(__xludf.DUMMYFUNCTION("""COMPUTED_VALUE"""),"01771831180")</f>
        <v>01771831180</v>
      </c>
      <c r="E178" s="3" t="str">
        <f>IFERROR(__xludf.DUMMYFUNCTION("""COMPUTED_VALUE"""),"L")</f>
        <v>L</v>
      </c>
      <c r="F178" s="3">
        <v>677.0</v>
      </c>
    </row>
    <row r="179">
      <c r="A179" s="3" t="str">
        <f>IFERROR(__xludf.DUMMYFUNCTION("""COMPUTED_VALUE"""),"DGK7JN57OT")</f>
        <v>DGK7JN57OT</v>
      </c>
      <c r="B179" s="3" t="str">
        <f>IFERROR(__xludf.DUMMYFUNCTION("""COMPUTED_VALUE"""),"MD. Amit Hassan Anik ")</f>
        <v>MD. Amit Hassan Anik </v>
      </c>
      <c r="C179" s="3" t="str">
        <f>IFERROR(__xludf.DUMMYFUNCTION("""COMPUTED_VALUE"""),"anik.874a@gmail.com")</f>
        <v>anik.874a@gmail.com</v>
      </c>
      <c r="D179" s="3" t="str">
        <f>IFERROR(__xludf.DUMMYFUNCTION("""COMPUTED_VALUE"""),"01798824088")</f>
        <v>01798824088</v>
      </c>
      <c r="E179" s="3" t="str">
        <f>IFERROR(__xludf.DUMMYFUNCTION("""COMPUTED_VALUE"""),"2XL")</f>
        <v>2XL</v>
      </c>
      <c r="F179" s="3">
        <v>678.0</v>
      </c>
    </row>
    <row r="180">
      <c r="A180" s="3" t="str">
        <f>IFERROR(__xludf.DUMMYFUNCTION("""COMPUTED_VALUE"""),"01933917606")</f>
        <v>01933917606</v>
      </c>
      <c r="B180" s="3" t="str">
        <f>IFERROR(__xludf.DUMMYFUNCTION("""COMPUTED_VALUE"""),"Adity Podder ")</f>
        <v>Adity Podder </v>
      </c>
      <c r="C180" s="3" t="str">
        <f>IFERROR(__xludf.DUMMYFUNCTION("""COMPUTED_VALUE"""),"aditypodder19@gmail.com")</f>
        <v>aditypodder19@gmail.com</v>
      </c>
      <c r="D180" s="3" t="str">
        <f>IFERROR(__xludf.DUMMYFUNCTION("""COMPUTED_VALUE"""),"01933917606")</f>
        <v>01933917606</v>
      </c>
      <c r="E180" s="3" t="str">
        <f>IFERROR(__xludf.DUMMYFUNCTION("""COMPUTED_VALUE"""),"XL")</f>
        <v>XL</v>
      </c>
      <c r="F180" s="3">
        <v>679.0</v>
      </c>
    </row>
    <row r="181">
      <c r="A181" s="3" t="str">
        <f>IFERROR(__xludf.DUMMYFUNCTION("""COMPUTED_VALUE"""),"DGK1JSP98H")</f>
        <v>DGK1JSP98H</v>
      </c>
      <c r="B181" s="3" t="str">
        <f>IFERROR(__xludf.DUMMYFUNCTION("""COMPUTED_VALUE"""),"MD.JAHID HASAN PRINCE ")</f>
        <v>MD.JAHID HASAN PRINCE </v>
      </c>
      <c r="C181" s="3" t="str">
        <f>IFERROR(__xludf.DUMMYFUNCTION("""COMPUTED_VALUE"""),"mdjahidhasanprince10@gmail.com")</f>
        <v>mdjahidhasanprince10@gmail.com</v>
      </c>
      <c r="D181" s="3" t="str">
        <f>IFERROR(__xludf.DUMMYFUNCTION("""COMPUTED_VALUE"""),"01760976702")</f>
        <v>01760976702</v>
      </c>
      <c r="E181" s="3" t="str">
        <f>IFERROR(__xludf.DUMMYFUNCTION("""COMPUTED_VALUE"""),"L")</f>
        <v>L</v>
      </c>
      <c r="F181" s="3">
        <v>680.0</v>
      </c>
    </row>
    <row r="182">
      <c r="A182" s="3" t="str">
        <f>IFERROR(__xludf.DUMMYFUNCTION("""COMPUTED_VALUE"""),"DGK1JUD55T")</f>
        <v>DGK1JUD55T</v>
      </c>
      <c r="B182" s="3" t="str">
        <f>IFERROR(__xludf.DUMMYFUNCTION("""COMPUTED_VALUE"""),"Mahmudul Hasan Sehab ")</f>
        <v>Mahmudul Hasan Sehab </v>
      </c>
      <c r="C182" s="3" t="str">
        <f>IFERROR(__xludf.DUMMYFUNCTION("""COMPUTED_VALUE"""),"sehabmh26@gmail.com")</f>
        <v>sehabmh26@gmail.com</v>
      </c>
      <c r="D182" s="3" t="str">
        <f>IFERROR(__xludf.DUMMYFUNCTION("""COMPUTED_VALUE"""),"01614145294")</f>
        <v>01614145294</v>
      </c>
      <c r="E182" s="3" t="str">
        <f>IFERROR(__xludf.DUMMYFUNCTION("""COMPUTED_VALUE"""),"L")</f>
        <v>L</v>
      </c>
      <c r="F182" s="3">
        <v>681.0</v>
      </c>
    </row>
    <row r="183">
      <c r="A183" s="3" t="str">
        <f>IFERROR(__xludf.DUMMYFUNCTION("""COMPUTED_VALUE"""),"DGK5JUDCW9")</f>
        <v>DGK5JUDCW9</v>
      </c>
      <c r="B183" s="3" t="str">
        <f>IFERROR(__xludf.DUMMYFUNCTION("""COMPUTED_VALUE"""),"Md Rakib Hoshen ")</f>
        <v>Md Rakib Hoshen </v>
      </c>
      <c r="C183" s="3" t="str">
        <f>IFERROR(__xludf.DUMMYFUNCTION("""COMPUTED_VALUE"""),"mdrakibhoshenrtd555@gmail.com")</f>
        <v>mdrakibhoshenrtd555@gmail.com</v>
      </c>
      <c r="D183" s="3" t="str">
        <f>IFERROR(__xludf.DUMMYFUNCTION("""COMPUTED_VALUE"""),"01796665124")</f>
        <v>01796665124</v>
      </c>
      <c r="E183" s="3" t="str">
        <f>IFERROR(__xludf.DUMMYFUNCTION("""COMPUTED_VALUE"""),"M")</f>
        <v>M</v>
      </c>
      <c r="F183" s="3">
        <v>682.0</v>
      </c>
    </row>
    <row r="184">
      <c r="A184" s="3" t="str">
        <f>IFERROR(__xludf.DUMMYFUNCTION("""COMPUTED_VALUE"""),"DGK6JUTWQU")</f>
        <v>DGK6JUTWQU</v>
      </c>
      <c r="B184" s="3" t="str">
        <f>IFERROR(__xludf.DUMMYFUNCTION("""COMPUTED_VALUE"""),"Rubaia Jabin Tahmina ")</f>
        <v>Rubaia Jabin Tahmina </v>
      </c>
      <c r="C184" s="3" t="str">
        <f>IFERROR(__xludf.DUMMYFUNCTION("""COMPUTED_VALUE"""),"tasnimhassan1204@gmail.com")</f>
        <v>tasnimhassan1204@gmail.com</v>
      </c>
      <c r="D184" s="3" t="str">
        <f>IFERROR(__xludf.DUMMYFUNCTION("""COMPUTED_VALUE"""),"01812720209")</f>
        <v>01812720209</v>
      </c>
      <c r="E184" s="3" t="str">
        <f>IFERROR(__xludf.DUMMYFUNCTION("""COMPUTED_VALUE"""),"L")</f>
        <v>L</v>
      </c>
      <c r="F184" s="3">
        <v>683.0</v>
      </c>
    </row>
    <row r="185">
      <c r="A185" s="3" t="str">
        <f>IFERROR(__xludf.DUMMYFUNCTION("""COMPUTED_VALUE"""),"DGK5JVWD0Z")</f>
        <v>DGK5JVWD0Z</v>
      </c>
      <c r="B185" s="3" t="str">
        <f>IFERROR(__xludf.DUMMYFUNCTION("""COMPUTED_VALUE"""),"Jannatul Emran")</f>
        <v>Jannatul Emran</v>
      </c>
      <c r="C185" s="3" t="str">
        <f>IFERROR(__xludf.DUMMYFUNCTION("""COMPUTED_VALUE"""),"jannatulemran848@gmail.com")</f>
        <v>jannatulemran848@gmail.com</v>
      </c>
      <c r="D185" s="3" t="str">
        <f>IFERROR(__xludf.DUMMYFUNCTION("""COMPUTED_VALUE"""),"01768220215")</f>
        <v>01768220215</v>
      </c>
      <c r="E185" s="3" t="str">
        <f>IFERROR(__xludf.DUMMYFUNCTION("""COMPUTED_VALUE"""),"XL")</f>
        <v>XL</v>
      </c>
      <c r="F185" s="3">
        <v>684.0</v>
      </c>
    </row>
    <row r="186">
      <c r="A186" s="3" t="str">
        <f>IFERROR(__xludf.DUMMYFUNCTION("""COMPUTED_VALUE"""),"DGK1JZPP2Z")</f>
        <v>DGK1JZPP2Z</v>
      </c>
      <c r="B186" s="3" t="str">
        <f>IFERROR(__xludf.DUMMYFUNCTION("""COMPUTED_VALUE"""),"Nabila")</f>
        <v>Nabila</v>
      </c>
      <c r="C186" s="3" t="str">
        <f>IFERROR(__xludf.DUMMYFUNCTION("""COMPUTED_VALUE"""),"nabila892024@gmail.com")</f>
        <v>nabila892024@gmail.com</v>
      </c>
      <c r="D186" s="3" t="str">
        <f>IFERROR(__xludf.DUMMYFUNCTION("""COMPUTED_VALUE"""),"01733749309")</f>
        <v>01733749309</v>
      </c>
      <c r="E186" s="3" t="str">
        <f>IFERROR(__xludf.DUMMYFUNCTION("""COMPUTED_VALUE"""),"M")</f>
        <v>M</v>
      </c>
      <c r="F186" s="3">
        <v>685.0</v>
      </c>
    </row>
    <row r="187">
      <c r="A187" s="3" t="str">
        <f>IFERROR(__xludf.DUMMYFUNCTION("""COMPUTED_VALUE"""),"DGK7K0SQAD")</f>
        <v>DGK7K0SQAD</v>
      </c>
      <c r="B187" s="3" t="str">
        <f>IFERROR(__xludf.DUMMYFUNCTION("""COMPUTED_VALUE"""),"Shamsuzzaman Pathik ")</f>
        <v>Shamsuzzaman Pathik </v>
      </c>
      <c r="C187" s="3" t="str">
        <f>IFERROR(__xludf.DUMMYFUNCTION("""COMPUTED_VALUE"""),"pothik2004@gmail ")</f>
        <v>pothik2004@gmail </v>
      </c>
      <c r="D187" s="3" t="str">
        <f>IFERROR(__xludf.DUMMYFUNCTION("""COMPUTED_VALUE"""),"01575096501")</f>
        <v>01575096501</v>
      </c>
      <c r="E187" s="3" t="str">
        <f>IFERROR(__xludf.DUMMYFUNCTION("""COMPUTED_VALUE"""),"XL")</f>
        <v>XL</v>
      </c>
      <c r="F187" s="3">
        <v>686.0</v>
      </c>
    </row>
    <row r="188">
      <c r="A188" s="3" t="str">
        <f>IFERROR(__xludf.DUMMYFUNCTION("""COMPUTED_VALUE"""),"DGK0K6P4WI")</f>
        <v>DGK0K6P4WI</v>
      </c>
      <c r="B188" s="3" t="str">
        <f>IFERROR(__xludf.DUMMYFUNCTION("""COMPUTED_VALUE"""),"Saifur Rahman ")</f>
        <v>Saifur Rahman </v>
      </c>
      <c r="C188" s="3" t="str">
        <f>IFERROR(__xludf.DUMMYFUNCTION("""COMPUTED_VALUE"""),"20210652890saifur@juniv.edu")</f>
        <v>20210652890saifur@juniv.edu</v>
      </c>
      <c r="D188" s="3" t="str">
        <f>IFERROR(__xludf.DUMMYFUNCTION("""COMPUTED_VALUE"""),"01882577552")</f>
        <v>01882577552</v>
      </c>
      <c r="E188" s="3" t="str">
        <f>IFERROR(__xludf.DUMMYFUNCTION("""COMPUTED_VALUE"""),"2xl")</f>
        <v>2xl</v>
      </c>
      <c r="F188" s="3">
        <v>687.0</v>
      </c>
    </row>
    <row r="189">
      <c r="A189" s="3" t="str">
        <f>IFERROR(__xludf.DUMMYFUNCTION("""COMPUTED_VALUE"""),"DGK3K748AT")</f>
        <v>DGK3K748AT</v>
      </c>
      <c r="B189" s="3" t="str">
        <f>IFERROR(__xludf.DUMMYFUNCTION("""COMPUTED_VALUE"""),"Humaira Islam")</f>
        <v>Humaira Islam</v>
      </c>
      <c r="C189" s="3" t="str">
        <f>IFERROR(__xludf.DUMMYFUNCTION("""COMPUTED_VALUE"""),"ihumairaaa@gmail.com")</f>
        <v>ihumairaaa@gmail.com</v>
      </c>
      <c r="D189" s="3" t="str">
        <f>IFERROR(__xludf.DUMMYFUNCTION("""COMPUTED_VALUE"""),"01618575881")</f>
        <v>01618575881</v>
      </c>
      <c r="E189" s="3" t="str">
        <f>IFERROR(__xludf.DUMMYFUNCTION("""COMPUTED_VALUE"""),"XL 44 29")</f>
        <v>XL 44 29</v>
      </c>
      <c r="F189" s="3">
        <v>688.0</v>
      </c>
    </row>
    <row r="190">
      <c r="A190" s="3" t="str">
        <f>IFERROR(__xludf.DUMMYFUNCTION("""COMPUTED_VALUE"""),"DGK7K7I5LV")</f>
        <v>DGK7K7I5LV</v>
      </c>
      <c r="B190" s="3" t="str">
        <f>IFERROR(__xludf.DUMMYFUNCTION("""COMPUTED_VALUE"""),"Fairuj Humira Esha ")</f>
        <v>Fairuj Humira Esha </v>
      </c>
      <c r="C190" s="3" t="str">
        <f>IFERROR(__xludf.DUMMYFUNCTION("""COMPUTED_VALUE"""),"fairuj.h.esha@gmail.com")</f>
        <v>fairuj.h.esha@gmail.com</v>
      </c>
      <c r="D190" s="3" t="str">
        <f>IFERROR(__xludf.DUMMYFUNCTION("""COMPUTED_VALUE"""),"01994719093")</f>
        <v>01994719093</v>
      </c>
      <c r="E190" s="3" t="str">
        <f>IFERROR(__xludf.DUMMYFUNCTION("""COMPUTED_VALUE"""),"L")</f>
        <v>L</v>
      </c>
      <c r="F190" s="3">
        <v>689.0</v>
      </c>
    </row>
    <row r="191">
      <c r="A191" s="3" t="str">
        <f>IFERROR(__xludf.DUMMYFUNCTION("""COMPUTED_VALUE"""),"DGK8K7TPO8")</f>
        <v>DGK8K7TPO8</v>
      </c>
      <c r="B191" s="3" t="str">
        <f>IFERROR(__xludf.DUMMYFUNCTION("""COMPUTED_VALUE"""),"MST. DIL ARA KARIM RUBI")</f>
        <v>MST. DIL ARA KARIM RUBI</v>
      </c>
      <c r="C191" s="3" t="str">
        <f>IFERROR(__xludf.DUMMYFUNCTION("""COMPUTED_VALUE"""),"dilarakarimrubi@gmail.com")</f>
        <v>dilarakarimrubi@gmail.com</v>
      </c>
      <c r="D191" s="3" t="str">
        <f>IFERROR(__xludf.DUMMYFUNCTION("""COMPUTED_VALUE"""),"01903894499")</f>
        <v>01903894499</v>
      </c>
      <c r="E191" s="3" t="str">
        <f>IFERROR(__xludf.DUMMYFUNCTION("""COMPUTED_VALUE"""),"XL")</f>
        <v>XL</v>
      </c>
      <c r="F191" s="3">
        <v>690.0</v>
      </c>
    </row>
    <row r="192">
      <c r="A192" s="3" t="str">
        <f>IFERROR(__xludf.DUMMYFUNCTION("""COMPUTED_VALUE"""),"DGK0KB1GVG")</f>
        <v>DGK0KB1GVG</v>
      </c>
      <c r="B192" s="3" t="str">
        <f>IFERROR(__xludf.DUMMYFUNCTION("""COMPUTED_VALUE"""),"Soumik Ghosh ")</f>
        <v>Soumik Ghosh </v>
      </c>
      <c r="C192" s="3" t="str">
        <f>IFERROR(__xludf.DUMMYFUNCTION("""COMPUTED_VALUE"""),"soumikgh1604@gmail.com")</f>
        <v>soumikgh1604@gmail.com</v>
      </c>
      <c r="D192" s="3" t="str">
        <f>IFERROR(__xludf.DUMMYFUNCTION("""COMPUTED_VALUE"""),"01304314132")</f>
        <v>01304314132</v>
      </c>
      <c r="E192" s="3" t="str">
        <f>IFERROR(__xludf.DUMMYFUNCTION("""COMPUTED_VALUE"""),"L")</f>
        <v>L</v>
      </c>
      <c r="F192" s="3">
        <v>691.0</v>
      </c>
    </row>
    <row r="193">
      <c r="A193" s="3" t="str">
        <f>IFERROR(__xludf.DUMMYFUNCTION("""COMPUTED_VALUE"""),"DGK4BEOEQ")</f>
        <v>DGK4BEOEQ</v>
      </c>
      <c r="B193" s="3" t="str">
        <f>IFERROR(__xludf.DUMMYFUNCTION("""COMPUTED_VALUE"""),"MD JASIM UDDIN")</f>
        <v>MD JASIM UDDIN</v>
      </c>
      <c r="C193" s="3" t="str">
        <f>IFERROR(__xludf.DUMMYFUNCTION("""COMPUTED_VALUE"""),"jasimds@ewubd.edu")</f>
        <v>jasimds@ewubd.edu</v>
      </c>
      <c r="D193" s="3" t="str">
        <f>IFERROR(__xludf.DUMMYFUNCTION("""COMPUTED_VALUE"""),"0921000538")</f>
        <v>0921000538</v>
      </c>
      <c r="E193" s="3" t="str">
        <f>IFERROR(__xludf.DUMMYFUNCTION("""COMPUTED_VALUE"""),"L")</f>
        <v>L</v>
      </c>
      <c r="F193" s="3">
        <v>692.0</v>
      </c>
    </row>
    <row r="194">
      <c r="A194" s="3" t="str">
        <f>IFERROR(__xludf.DUMMYFUNCTION("""COMPUTED_VALUE"""),"DGK6KBNING")</f>
        <v>DGK6KBNING</v>
      </c>
      <c r="B194" s="3" t="str">
        <f>IFERROR(__xludf.DUMMYFUNCTION("""COMPUTED_VALUE"""),"Pavel Ahmed")</f>
        <v>Pavel Ahmed</v>
      </c>
      <c r="C194" s="3" t="str">
        <f>IFERROR(__xludf.DUMMYFUNCTION("""COMPUTED_VALUE"""),"pavelahmed019@gmail.com")</f>
        <v>pavelahmed019@gmail.com</v>
      </c>
      <c r="D194" s="3" t="str">
        <f>IFERROR(__xludf.DUMMYFUNCTION("""COMPUTED_VALUE"""),"01781005173")</f>
        <v>01781005173</v>
      </c>
      <c r="E194" s="3" t="str">
        <f>IFERROR(__xludf.DUMMYFUNCTION("""COMPUTED_VALUE"""),"XL")</f>
        <v>XL</v>
      </c>
      <c r="F194" s="3">
        <v>693.0</v>
      </c>
    </row>
    <row r="195">
      <c r="A195" s="3" t="str">
        <f>IFERROR(__xludf.DUMMYFUNCTION("""COMPUTED_VALUE"""),"DGK0KCFR24")</f>
        <v>DGK0KCFR24</v>
      </c>
      <c r="B195" s="3" t="str">
        <f>IFERROR(__xludf.DUMMYFUNCTION("""COMPUTED_VALUE"""),"Md. Imranul Hasan ")</f>
        <v>Md. Imranul Hasan </v>
      </c>
      <c r="C195" s="3" t="str">
        <f>IFERROR(__xludf.DUMMYFUNCTION("""COMPUTED_VALUE"""),"mdimranulhasan177@gmail.com")</f>
        <v>mdimranulhasan177@gmail.com</v>
      </c>
      <c r="D195" s="3" t="str">
        <f>IFERROR(__xludf.DUMMYFUNCTION("""COMPUTED_VALUE"""),"01788891701")</f>
        <v>01788891701</v>
      </c>
      <c r="E195" s="3" t="str">
        <f>IFERROR(__xludf.DUMMYFUNCTION("""COMPUTED_VALUE"""),"L")</f>
        <v>L</v>
      </c>
      <c r="F195" s="3">
        <v>694.0</v>
      </c>
    </row>
    <row r="196">
      <c r="A196" s="3" t="str">
        <f>IFERROR(__xludf.DUMMYFUNCTION("""COMPUTED_VALUE"""),"DGK0KCJF6I")</f>
        <v>DGK0KCJF6I</v>
      </c>
      <c r="B196" s="3" t="str">
        <f>IFERROR(__xludf.DUMMYFUNCTION("""COMPUTED_VALUE"""),"Md. Abu Rahat Khandoker ")</f>
        <v>Md. Abu Rahat Khandoker </v>
      </c>
      <c r="C196" s="3" t="str">
        <f>IFERROR(__xludf.DUMMYFUNCTION("""COMPUTED_VALUE"""),"aburahat133@gmail.com")</f>
        <v>aburahat133@gmail.com</v>
      </c>
      <c r="D196" s="3" t="str">
        <f>IFERROR(__xludf.DUMMYFUNCTION("""COMPUTED_VALUE"""),"01782981980")</f>
        <v>01782981980</v>
      </c>
      <c r="E196" s="3" t="str">
        <f>IFERROR(__xludf.DUMMYFUNCTION("""COMPUTED_VALUE"""),"XL")</f>
        <v>XL</v>
      </c>
      <c r="F196" s="3">
        <v>695.0</v>
      </c>
    </row>
    <row r="197">
      <c r="A197" s="3" t="str">
        <f>IFERROR(__xludf.DUMMYFUNCTION("""COMPUTED_VALUE"""),"DGK7KD6FSF")</f>
        <v>DGK7KD6FSF</v>
      </c>
      <c r="B197" s="3" t="str">
        <f>IFERROR(__xludf.DUMMYFUNCTION("""COMPUTED_VALUE"""),"Sonjeeb kumar ruddra")</f>
        <v>Sonjeeb kumar ruddra</v>
      </c>
      <c r="C197" s="3" t="str">
        <f>IFERROR(__xludf.DUMMYFUNCTION("""COMPUTED_VALUE"""),"Sonjeebrudra@gmail.com")</f>
        <v>Sonjeebrudra@gmail.com</v>
      </c>
      <c r="D197" s="3" t="str">
        <f>IFERROR(__xludf.DUMMYFUNCTION("""COMPUTED_VALUE"""),"01932726093")</f>
        <v>01932726093</v>
      </c>
      <c r="E197" s="3" t="str">
        <f>IFERROR(__xludf.DUMMYFUNCTION("""COMPUTED_VALUE"""),"L")</f>
        <v>L</v>
      </c>
      <c r="F197" s="3">
        <v>696.0</v>
      </c>
    </row>
    <row r="198">
      <c r="A198" s="3" t="str">
        <f>IFERROR(__xludf.DUMMYFUNCTION("""COMPUTED_VALUE"""),"DGL8KFR9UC")</f>
        <v>DGL8KFR9UC</v>
      </c>
      <c r="B198" s="3" t="str">
        <f>IFERROR(__xludf.DUMMYFUNCTION("""COMPUTED_VALUE"""),"Md Mayeen Uddin")</f>
        <v>Md Mayeen Uddin</v>
      </c>
      <c r="C198" s="3" t="str">
        <f>IFERROR(__xludf.DUMMYFUNCTION("""COMPUTED_VALUE"""),"maineuddinasif@gmail.com")</f>
        <v>maineuddinasif@gmail.com</v>
      </c>
      <c r="D198" s="3" t="str">
        <f>IFERROR(__xludf.DUMMYFUNCTION("""COMPUTED_VALUE"""),"01616966868")</f>
        <v>01616966868</v>
      </c>
      <c r="E198" s="3" t="str">
        <f>IFERROR(__xludf.DUMMYFUNCTION("""COMPUTED_VALUE"""),"2XL")</f>
        <v>2XL</v>
      </c>
      <c r="F198" s="3">
        <v>697.0</v>
      </c>
    </row>
    <row r="199">
      <c r="A199" s="3" t="str">
        <f>IFERROR(__xludf.DUMMYFUNCTION("""COMPUTED_VALUE"""),"DGL5KGPWOD")</f>
        <v>DGL5KGPWOD</v>
      </c>
      <c r="B199" s="3" t="str">
        <f>IFERROR(__xludf.DUMMYFUNCTION("""COMPUTED_VALUE"""),"Mosaraf Hossain")</f>
        <v>Mosaraf Hossain</v>
      </c>
      <c r="C199" s="3" t="str">
        <f>IFERROR(__xludf.DUMMYFUNCTION("""COMPUTED_VALUE"""),"mdb848492@gmail.com")</f>
        <v>mdb848492@gmail.com</v>
      </c>
      <c r="D199" s="3" t="str">
        <f>IFERROR(__xludf.DUMMYFUNCTION("""COMPUTED_VALUE"""),"01405768303")</f>
        <v>01405768303</v>
      </c>
      <c r="E199" s="3" t="str">
        <f>IFERROR(__xludf.DUMMYFUNCTION("""COMPUTED_VALUE"""),"M")</f>
        <v>M</v>
      </c>
      <c r="F199" s="3">
        <v>698.0</v>
      </c>
    </row>
    <row r="200">
      <c r="A200" s="3" t="str">
        <f>IFERROR(__xludf.DUMMYFUNCTION("""COMPUTED_VALUE"""),"DGL4KGZU62")</f>
        <v>DGL4KGZU62</v>
      </c>
      <c r="B200" s="3" t="str">
        <f>IFERROR(__xludf.DUMMYFUNCTION("""COMPUTED_VALUE"""),"Yeasir Arafat")</f>
        <v>Yeasir Arafat</v>
      </c>
      <c r="C200" s="3" t="str">
        <f>IFERROR(__xludf.DUMMYFUNCTION("""COMPUTED_VALUE"""),"marufhasans049@gmail.com")</f>
        <v>marufhasans049@gmail.com</v>
      </c>
      <c r="D200" s="3" t="str">
        <f>IFERROR(__xludf.DUMMYFUNCTION("""COMPUTED_VALUE"""),"01302436936")</f>
        <v>01302436936</v>
      </c>
      <c r="E200" s="3" t="str">
        <f>IFERROR(__xludf.DUMMYFUNCTION("""COMPUTED_VALUE"""),"2XL")</f>
        <v>2XL</v>
      </c>
      <c r="F200" s="3">
        <v>699.0</v>
      </c>
    </row>
    <row r="201">
      <c r="A201" s="3" t="str">
        <f>IFERROR(__xludf.DUMMYFUNCTION("""COMPUTED_VALUE"""),"DGL6KH5OLY")</f>
        <v>DGL6KH5OLY</v>
      </c>
      <c r="B201" s="3" t="str">
        <f>IFERROR(__xludf.DUMMYFUNCTION("""COMPUTED_VALUE"""),"Md Jubayer Ahmed")</f>
        <v>Md Jubayer Ahmed</v>
      </c>
      <c r="C201" s="3" t="str">
        <f>IFERROR(__xludf.DUMMYFUNCTION("""COMPUTED_VALUE"""),"mjubayera18@gmail.com")</f>
        <v>mjubayera18@gmail.com</v>
      </c>
      <c r="D201" s="3" t="str">
        <f>IFERROR(__xludf.DUMMYFUNCTION("""COMPUTED_VALUE"""),"01765676676")</f>
        <v>01765676676</v>
      </c>
      <c r="E201" s="3" t="str">
        <f>IFERROR(__xludf.DUMMYFUNCTION("""COMPUTED_VALUE"""),"L")</f>
        <v>L</v>
      </c>
      <c r="F201" s="3">
        <v>700.0</v>
      </c>
    </row>
    <row r="202">
      <c r="A202" s="3" t="str">
        <f>IFERROR(__xludf.DUMMYFUNCTION("""COMPUTED_VALUE"""),"JUCSU RUN ")</f>
        <v>JUCSU RUN </v>
      </c>
      <c r="B202" s="3" t="str">
        <f>IFERROR(__xludf.DUMMYFUNCTION("""COMPUTED_VALUE"""),"Rajib Chandra Kar ")</f>
        <v>Rajib Chandra Kar </v>
      </c>
      <c r="C202" s="3" t="str">
        <f>IFERROR(__xludf.DUMMYFUNCTION("""COMPUTED_VALUE"""),"rajibkar.info@gmail.com ")</f>
        <v>rajibkar.info@gmail.com </v>
      </c>
      <c r="D202" s="3" t="str">
        <f>IFERROR(__xludf.DUMMYFUNCTION("""COMPUTED_VALUE"""),"01521563258")</f>
        <v>01521563258</v>
      </c>
      <c r="E202" s="3" t="str">
        <f>IFERROR(__xludf.DUMMYFUNCTION("""COMPUTED_VALUE"""),"L ")</f>
        <v>L </v>
      </c>
      <c r="F202" s="3">
        <v>701.0</v>
      </c>
    </row>
    <row r="203">
      <c r="A203" s="3" t="str">
        <f>IFERROR(__xludf.DUMMYFUNCTION("""COMPUTED_VALUE"""),"DGL0KHQAMA")</f>
        <v>DGL0KHQAMA</v>
      </c>
      <c r="B203" s="3" t="str">
        <f>IFERROR(__xludf.DUMMYFUNCTION("""COMPUTED_VALUE"""),"MD Iftekhar Rashid Tasin")</f>
        <v>MD Iftekhar Rashid Tasin</v>
      </c>
      <c r="C203" s="3" t="str">
        <f>IFERROR(__xludf.DUMMYFUNCTION("""COMPUTED_VALUE"""),"rashidtasin21@gmail.com")</f>
        <v>rashidtasin21@gmail.com</v>
      </c>
      <c r="D203" s="3" t="str">
        <f>IFERROR(__xludf.DUMMYFUNCTION("""COMPUTED_VALUE"""),"01972806690")</f>
        <v>01972806690</v>
      </c>
      <c r="E203" s="3" t="str">
        <f>IFERROR(__xludf.DUMMYFUNCTION("""COMPUTED_VALUE"""),"L")</f>
        <v>L</v>
      </c>
      <c r="F203" s="3">
        <v>702.0</v>
      </c>
    </row>
    <row r="204">
      <c r="A204" s="3" t="str">
        <f>IFERROR(__xludf.DUMMYFUNCTION("""COMPUTED_VALUE"""),"DGL9KJ8ZWZ")</f>
        <v>DGL9KJ8ZWZ</v>
      </c>
      <c r="B204" s="3" t="str">
        <f>IFERROR(__xludf.DUMMYFUNCTION("""COMPUTED_VALUE"""),"MD Atiqur Rahman Ratul ")</f>
        <v>MD Atiqur Rahman Ratul </v>
      </c>
      <c r="C204" s="3" t="str">
        <f>IFERROR(__xludf.DUMMYFUNCTION("""COMPUTED_VALUE"""),"atiqurrahman08062005@gmail.com")</f>
        <v>atiqurrahman08062005@gmail.com</v>
      </c>
      <c r="D204" s="3" t="str">
        <f>IFERROR(__xludf.DUMMYFUNCTION("""COMPUTED_VALUE"""),"01641752765")</f>
        <v>01641752765</v>
      </c>
      <c r="E204" s="3" t="str">
        <f>IFERROR(__xludf.DUMMYFUNCTION("""COMPUTED_VALUE"""),"M")</f>
        <v>M</v>
      </c>
      <c r="F204" s="3">
        <v>703.0</v>
      </c>
    </row>
    <row r="205">
      <c r="A205" s="3" t="str">
        <f>IFERROR(__xludf.DUMMYFUNCTION("""COMPUTED_VALUE"""),"DGL0KM3PFK")</f>
        <v>DGL0KM3PFK</v>
      </c>
      <c r="B205" s="3" t="str">
        <f>IFERROR(__xludf.DUMMYFUNCTION("""COMPUTED_VALUE"""),"MD.AL-AMIN")</f>
        <v>MD.AL-AMIN</v>
      </c>
      <c r="C205" s="3" t="str">
        <f>IFERROR(__xludf.DUMMYFUNCTION("""COMPUTED_VALUE"""),"mdalamin7e7@gmail.com")</f>
        <v>mdalamin7e7@gmail.com</v>
      </c>
      <c r="D205" s="3" t="str">
        <f>IFERROR(__xludf.DUMMYFUNCTION("""COMPUTED_VALUE"""),"01627457836")</f>
        <v>01627457836</v>
      </c>
      <c r="E205" s="3" t="str">
        <f>IFERROR(__xludf.DUMMYFUNCTION("""COMPUTED_VALUE"""),"M")</f>
        <v>M</v>
      </c>
      <c r="F205" s="3">
        <v>704.0</v>
      </c>
    </row>
    <row r="206">
      <c r="A206" s="3" t="str">
        <f>IFERROR(__xludf.DUMMYFUNCTION("""COMPUTED_VALUE"""),"DGL9KMJ29R")</f>
        <v>DGL9KMJ29R</v>
      </c>
      <c r="B206" s="3" t="str">
        <f>IFERROR(__xludf.DUMMYFUNCTION("""COMPUTED_VALUE"""),"Ramim")</f>
        <v>Ramim</v>
      </c>
      <c r="C206" s="3" t="str">
        <f>IFERROR(__xludf.DUMMYFUNCTION("""COMPUTED_VALUE"""),"fozleyrabby32@gmail.com")</f>
        <v>fozleyrabby32@gmail.com</v>
      </c>
      <c r="D206" s="3" t="str">
        <f>IFERROR(__xludf.DUMMYFUNCTION("""COMPUTED_VALUE"""),"01676785282")</f>
        <v>01676785282</v>
      </c>
      <c r="E206" s="3" t="str">
        <f>IFERROR(__xludf.DUMMYFUNCTION("""COMPUTED_VALUE"""),"L")</f>
        <v>L</v>
      </c>
      <c r="F206" s="3">
        <v>705.0</v>
      </c>
    </row>
    <row r="207">
      <c r="A207" s="3" t="str">
        <f>IFERROR(__xludf.DUMMYFUNCTION("""COMPUTED_VALUE"""),"DGL7KR08MZ")</f>
        <v>DGL7KR08MZ</v>
      </c>
      <c r="B207" s="3" t="str">
        <f>IFERROR(__xludf.DUMMYFUNCTION("""COMPUTED_VALUE"""),"Anik Howlader ")</f>
        <v>Anik Howlader </v>
      </c>
      <c r="C207" s="3" t="str">
        <f>IFERROR(__xludf.DUMMYFUNCTION("""COMPUTED_VALUE"""),"howladeranik333@gmail ")</f>
        <v>howladeranik333@gmail </v>
      </c>
      <c r="D207" s="3" t="str">
        <f>IFERROR(__xludf.DUMMYFUNCTION("""COMPUTED_VALUE"""),"01940534488")</f>
        <v>01940534488</v>
      </c>
      <c r="E207" s="3" t="str">
        <f>IFERROR(__xludf.DUMMYFUNCTION("""COMPUTED_VALUE"""),"XL")</f>
        <v>XL</v>
      </c>
      <c r="F207" s="3">
        <v>706.0</v>
      </c>
    </row>
    <row r="208">
      <c r="A208" s="3" t="str">
        <f>IFERROR(__xludf.DUMMYFUNCTION("""COMPUTED_VALUE"""),"DGL7KR2WNN")</f>
        <v>DGL7KR2WNN</v>
      </c>
      <c r="B208" s="3" t="str">
        <f>IFERROR(__xludf.DUMMYFUNCTION("""COMPUTED_VALUE"""),"Nahid")</f>
        <v>Nahid</v>
      </c>
      <c r="C208" s="3" t="str">
        <f>IFERROR(__xludf.DUMMYFUNCTION("""COMPUTED_VALUE"""),"rahimuln099@gmail.com")</f>
        <v>rahimuln099@gmail.com</v>
      </c>
      <c r="D208" s="3" t="str">
        <f>IFERROR(__xludf.DUMMYFUNCTION("""COMPUTED_VALUE"""),"01792931314")</f>
        <v>01792931314</v>
      </c>
      <c r="E208" s="3" t="str">
        <f>IFERROR(__xludf.DUMMYFUNCTION("""COMPUTED_VALUE"""),"L- 9(Jersey Number)")</f>
        <v>L- 9(Jersey Number)</v>
      </c>
      <c r="F208" s="3">
        <v>707.0</v>
      </c>
    </row>
    <row r="209">
      <c r="A209" s="3" t="str">
        <f>IFERROR(__xludf.DUMMYFUNCTION("""COMPUTED_VALUE"""),"DGL1KRTKVT")</f>
        <v>DGL1KRTKVT</v>
      </c>
      <c r="B209" s="3" t="str">
        <f>IFERROR(__xludf.DUMMYFUNCTION("""COMPUTED_VALUE"""),"Arifur Rahman Arif ")</f>
        <v>Arifur Rahman Arif </v>
      </c>
      <c r="C209" s="3" t="str">
        <f>IFERROR(__xludf.DUMMYFUNCTION("""COMPUTED_VALUE"""),"arifurrahmanarif920@gmail.com")</f>
        <v>arifurrahmanarif920@gmail.com</v>
      </c>
      <c r="D209" s="3" t="str">
        <f>IFERROR(__xludf.DUMMYFUNCTION("""COMPUTED_VALUE"""),"01600857785")</f>
        <v>01600857785</v>
      </c>
      <c r="E209" s="3" t="str">
        <f>IFERROR(__xludf.DUMMYFUNCTION("""COMPUTED_VALUE"""),"L")</f>
        <v>L</v>
      </c>
      <c r="F209" s="3">
        <v>708.0</v>
      </c>
    </row>
    <row r="210">
      <c r="A210" s="3" t="str">
        <f>IFERROR(__xludf.DUMMYFUNCTION("""COMPUTED_VALUE"""),"DGL1KTMSVL")</f>
        <v>DGL1KTMSVL</v>
      </c>
      <c r="B210" s="3" t="str">
        <f>IFERROR(__xludf.DUMMYFUNCTION("""COMPUTED_VALUE"""),"Md. Shajjad Hossain")</f>
        <v>Md. Shajjad Hossain</v>
      </c>
      <c r="C210" s="3" t="str">
        <f>IFERROR(__xludf.DUMMYFUNCTION("""COMPUTED_VALUE"""),"sailorju38@gmail.com")</f>
        <v>sailorju38@gmail.com</v>
      </c>
      <c r="D210" s="3" t="str">
        <f>IFERROR(__xludf.DUMMYFUNCTION("""COMPUTED_VALUE"""),"01786868693")</f>
        <v>01786868693</v>
      </c>
      <c r="E210" s="3" t="str">
        <f>IFERROR(__xludf.DUMMYFUNCTION("""COMPUTED_VALUE"""),"2xl 46 30")</f>
        <v>2xl 46 30</v>
      </c>
      <c r="F210" s="3">
        <v>709.0</v>
      </c>
    </row>
    <row r="211">
      <c r="A211" s="3" t="str">
        <f>IFERROR(__xludf.DUMMYFUNCTION("""COMPUTED_VALUE"""),"DGL0KTTR96")</f>
        <v>DGL0KTTR96</v>
      </c>
      <c r="B211" s="3" t="str">
        <f>IFERROR(__xludf.DUMMYFUNCTION("""COMPUTED_VALUE"""),"Md. Fariz Uddin Rabbu ")</f>
        <v>Md. Fariz Uddin Rabbu </v>
      </c>
      <c r="C211" s="3" t="str">
        <f>IFERROR(__xludf.DUMMYFUNCTION("""COMPUTED_VALUE"""),"mdrabbu772@gmail.com")</f>
        <v>mdrabbu772@gmail.com</v>
      </c>
      <c r="D211" s="3" t="str">
        <f>IFERROR(__xludf.DUMMYFUNCTION("""COMPUTED_VALUE"""),"01634113672")</f>
        <v>01634113672</v>
      </c>
      <c r="E211" s="3" t="str">
        <f>IFERROR(__xludf.DUMMYFUNCTION("""COMPUTED_VALUE"""),"L")</f>
        <v>L</v>
      </c>
      <c r="F211" s="3">
        <v>710.0</v>
      </c>
    </row>
    <row r="212">
      <c r="A212" s="3" t="str">
        <f>IFERROR(__xludf.DUMMYFUNCTION("""COMPUTED_VALUE"""),"DGL5KWL5LL")</f>
        <v>DGL5KWL5LL</v>
      </c>
      <c r="B212" s="3" t="str">
        <f>IFERROR(__xludf.DUMMYFUNCTION("""COMPUTED_VALUE"""),"Md. Istiak Kabir Aranno ")</f>
        <v>Md. Istiak Kabir Aranno </v>
      </c>
      <c r="C212" s="3" t="str">
        <f>IFERROR(__xludf.DUMMYFUNCTION("""COMPUTED_VALUE"""),"istiakkabir52@gmail.com")</f>
        <v>istiakkabir52@gmail.com</v>
      </c>
      <c r="D212" s="3" t="str">
        <f>IFERROR(__xludf.DUMMYFUNCTION("""COMPUTED_VALUE"""),"01772868673")</f>
        <v>01772868673</v>
      </c>
      <c r="E212" s="3" t="str">
        <f>IFERROR(__xludf.DUMMYFUNCTION("""COMPUTED_VALUE"""),"M")</f>
        <v>M</v>
      </c>
      <c r="F212" s="3">
        <v>711.0</v>
      </c>
    </row>
    <row r="213">
      <c r="A213" s="3" t="str">
        <f>IFERROR(__xludf.DUMMYFUNCTION("""COMPUTED_VALUE"""),"DGL8KWT5I4")</f>
        <v>DGL8KWT5I4</v>
      </c>
      <c r="B213" s="3" t="str">
        <f>IFERROR(__xludf.DUMMYFUNCTION("""COMPUTED_VALUE"""),"MD ABDUS SALAM")</f>
        <v>MD ABDUS SALAM</v>
      </c>
      <c r="C213" s="3" t="str">
        <f>IFERROR(__xludf.DUMMYFUNCTION("""COMPUTED_VALUE"""),"ab.salamraju@gmail.com")</f>
        <v>ab.salamraju@gmail.com</v>
      </c>
      <c r="D213" s="3" t="str">
        <f>IFERROR(__xludf.DUMMYFUNCTION("""COMPUTED_VALUE"""),"01537555552")</f>
        <v>01537555552</v>
      </c>
      <c r="E213" s="3" t="str">
        <f>IFERROR(__xludf.DUMMYFUNCTION("""COMPUTED_VALUE"""),"L")</f>
        <v>L</v>
      </c>
      <c r="F213" s="3">
        <v>712.0</v>
      </c>
    </row>
    <row r="214">
      <c r="A214" s="3" t="str">
        <f>IFERROR(__xludf.DUMMYFUNCTION("""COMPUTED_VALUE"""),"DGL8KXLA6S")</f>
        <v>DGL8KXLA6S</v>
      </c>
      <c r="B214" s="3" t="str">
        <f>IFERROR(__xludf.DUMMYFUNCTION("""COMPUTED_VALUE"""),"Md. Elyeas ")</f>
        <v>Md. Elyeas </v>
      </c>
      <c r="C214" s="3" t="str">
        <f>IFERROR(__xludf.DUMMYFUNCTION("""COMPUTED_VALUE"""),"kmelyeasahmed@gmail.com")</f>
        <v>kmelyeasahmed@gmail.com</v>
      </c>
      <c r="D214" s="3" t="str">
        <f>IFERROR(__xludf.DUMMYFUNCTION("""COMPUTED_VALUE"""),"01308019692")</f>
        <v>01308019692</v>
      </c>
      <c r="E214" s="3" t="str">
        <f>IFERROR(__xludf.DUMMYFUNCTION("""COMPUTED_VALUE"""),"M")</f>
        <v>M</v>
      </c>
      <c r="F214" s="3">
        <v>713.0</v>
      </c>
    </row>
    <row r="215">
      <c r="A215" s="3" t="str">
        <f>IFERROR(__xludf.DUMMYFUNCTION("""COMPUTED_VALUE"""),"Jucsu Run")</f>
        <v>Jucsu Run</v>
      </c>
      <c r="B215" s="3" t="str">
        <f>IFERROR(__xludf.DUMMYFUNCTION("""COMPUTED_VALUE"""),"Shyamoli Das ")</f>
        <v>Shyamoli Das </v>
      </c>
      <c r="C215" s="3" t="str">
        <f>IFERROR(__xludf.DUMMYFUNCTION("""COMPUTED_VALUE"""),"shyamolidas2002bd@gmail.com")</f>
        <v>shyamolidas2002bd@gmail.com</v>
      </c>
      <c r="D215" s="3" t="str">
        <f>IFERROR(__xludf.DUMMYFUNCTION("""COMPUTED_VALUE"""),"01719238393")</f>
        <v>01719238393</v>
      </c>
      <c r="E215" s="3" t="str">
        <f>IFERROR(__xludf.DUMMYFUNCTION("""COMPUTED_VALUE"""),"S")</f>
        <v>S</v>
      </c>
      <c r="F215" s="3">
        <v>714.0</v>
      </c>
    </row>
    <row r="216">
      <c r="A216" s="3" t="str">
        <f>IFERROR(__xludf.DUMMYFUNCTION("""COMPUTED_VALUE"""),"DGL4L6EUHQ")</f>
        <v>DGL4L6EUHQ</v>
      </c>
      <c r="B216" s="3" t="str">
        <f>IFERROR(__xludf.DUMMYFUNCTION("""COMPUTED_VALUE"""),"MD. RUBAYED ISLAM")</f>
        <v>MD. RUBAYED ISLAM</v>
      </c>
      <c r="C216" s="3" t="str">
        <f>IFERROR(__xludf.DUMMYFUNCTION("""COMPUTED_VALUE"""),"rubayed2k20@gmail.com")</f>
        <v>rubayed2k20@gmail.com</v>
      </c>
      <c r="D216" s="3" t="str">
        <f>IFERROR(__xludf.DUMMYFUNCTION("""COMPUTED_VALUE"""),"01737226450")</f>
        <v>01737226450</v>
      </c>
      <c r="E216" s="3" t="str">
        <f>IFERROR(__xludf.DUMMYFUNCTION("""COMPUTED_VALUE"""),"L")</f>
        <v>L</v>
      </c>
      <c r="F216" s="3">
        <v>715.0</v>
      </c>
    </row>
    <row r="217">
      <c r="A217" s="3" t="str">
        <f>IFERROR(__xludf.DUMMYFUNCTION("""COMPUTED_VALUE"""),"DGL0L8R2NY")</f>
        <v>DGL0L8R2NY</v>
      </c>
      <c r="B217" s="3" t="str">
        <f>IFERROR(__xludf.DUMMYFUNCTION("""COMPUTED_VALUE"""),"Hasan Mahmud ")</f>
        <v>Hasan Mahmud </v>
      </c>
      <c r="C217" s="3" t="str">
        <f>IFERROR(__xludf.DUMMYFUNCTION("""COMPUTED_VALUE"""),"anuhassan743@gmail.com")</f>
        <v>anuhassan743@gmail.com</v>
      </c>
      <c r="D217" s="3" t="str">
        <f>IFERROR(__xludf.DUMMYFUNCTION("""COMPUTED_VALUE"""),"01643417873")</f>
        <v>01643417873</v>
      </c>
      <c r="E217" s="3" t="str">
        <f>IFERROR(__xludf.DUMMYFUNCTION("""COMPUTED_VALUE"""),"L")</f>
        <v>L</v>
      </c>
      <c r="F217" s="3">
        <v>716.0</v>
      </c>
    </row>
    <row r="218">
      <c r="A218" s="3" t="str">
        <f>IFERROR(__xludf.DUMMYFUNCTION("""COMPUTED_VALUE"""),"DGL4LA6LZQ")</f>
        <v>DGL4LA6LZQ</v>
      </c>
      <c r="B218" s="3" t="str">
        <f>IFERROR(__xludf.DUMMYFUNCTION("""COMPUTED_VALUE"""),"Md Tanim Reza Kallol ")</f>
        <v>Md Tanim Reza Kallol </v>
      </c>
      <c r="C218" s="3" t="str">
        <f>IFERROR(__xludf.DUMMYFUNCTION("""COMPUTED_VALUE"""),"tanimreza2111@gmail.com")</f>
        <v>tanimreza2111@gmail.com</v>
      </c>
      <c r="D218" s="3" t="str">
        <f>IFERROR(__xludf.DUMMYFUNCTION("""COMPUTED_VALUE"""),"01798086287")</f>
        <v>01798086287</v>
      </c>
      <c r="E218" s="3" t="str">
        <f>IFERROR(__xludf.DUMMYFUNCTION("""COMPUTED_VALUE"""),"L")</f>
        <v>L</v>
      </c>
      <c r="F218" s="3">
        <v>717.0</v>
      </c>
    </row>
    <row r="219">
      <c r="A219" s="3" t="str">
        <f>IFERROR(__xludf.DUMMYFUNCTION("""COMPUTED_VALUE"""),"DGL6LAXMKU")</f>
        <v>DGL6LAXMKU</v>
      </c>
      <c r="B219" s="3" t="str">
        <f>IFERROR(__xludf.DUMMYFUNCTION("""COMPUTED_VALUE"""),"Rezwan Islam Rizvi")</f>
        <v>Rezwan Islam Rizvi</v>
      </c>
      <c r="C219" s="3" t="str">
        <f>IFERROR(__xludf.DUMMYFUNCTION("""COMPUTED_VALUE"""),"rezwanrizvi0@gmail.com")</f>
        <v>rezwanrizvi0@gmail.com</v>
      </c>
      <c r="D219" s="3" t="str">
        <f>IFERROR(__xludf.DUMMYFUNCTION("""COMPUTED_VALUE"""),"01909277113")</f>
        <v>01909277113</v>
      </c>
      <c r="E219" s="3" t="str">
        <f>IFERROR(__xludf.DUMMYFUNCTION("""COMPUTED_VALUE"""),"Xl")</f>
        <v>Xl</v>
      </c>
      <c r="F219" s="3">
        <v>718.0</v>
      </c>
    </row>
    <row r="220">
      <c r="A220" s="3" t="str">
        <f>IFERROR(__xludf.DUMMYFUNCTION("""COMPUTED_VALUE"""),"DGL8LFHKDW")</f>
        <v>DGL8LFHKDW</v>
      </c>
      <c r="B220" s="3" t="str">
        <f>IFERROR(__xludf.DUMMYFUNCTION("""COMPUTED_VALUE"""),"Raisa Nishat ")</f>
        <v>Raisa Nishat </v>
      </c>
      <c r="C220" s="3" t="str">
        <f>IFERROR(__xludf.DUMMYFUNCTION("""COMPUTED_VALUE"""),"raisanishat21@gmail.com")</f>
        <v>raisanishat21@gmail.com</v>
      </c>
      <c r="D220" s="3" t="str">
        <f>IFERROR(__xludf.DUMMYFUNCTION("""COMPUTED_VALUE"""),"01755791165")</f>
        <v>01755791165</v>
      </c>
      <c r="E220" s="3" t="str">
        <f>IFERROR(__xludf.DUMMYFUNCTION("""COMPUTED_VALUE"""),"XL")</f>
        <v>XL</v>
      </c>
      <c r="F220" s="3">
        <v>719.0</v>
      </c>
    </row>
    <row r="221">
      <c r="A221" s="3" t="str">
        <f>IFERROR(__xludf.DUMMYFUNCTION("""COMPUTED_VALUE"""),"DGL2LFX6YI  ")</f>
        <v>DGL2LFX6YI  </v>
      </c>
      <c r="B221" s="3" t="str">
        <f>IFERROR(__xludf.DUMMYFUNCTION("""COMPUTED_VALUE"""),"Lamia Rahman Orthy ")</f>
        <v>Lamia Rahman Orthy </v>
      </c>
      <c r="C221" s="3" t="str">
        <f>IFERROR(__xludf.DUMMYFUNCTION("""COMPUTED_VALUE"""),"lamiarahmanorthy32@gmail.com")</f>
        <v>lamiarahmanorthy32@gmail.com</v>
      </c>
      <c r="D221" s="3" t="str">
        <f>IFERROR(__xludf.DUMMYFUNCTION("""COMPUTED_VALUE"""),"01787788313")</f>
        <v>01787788313</v>
      </c>
      <c r="E221" s="3" t="str">
        <f>IFERROR(__xludf.DUMMYFUNCTION("""COMPUTED_VALUE"""),"XL")</f>
        <v>XL</v>
      </c>
      <c r="F221" s="3">
        <v>720.0</v>
      </c>
    </row>
    <row r="222">
      <c r="A222" s="3" t="str">
        <f>IFERROR(__xludf.DUMMYFUNCTION("""COMPUTED_VALUE"""),"Jucsu Run")</f>
        <v>Jucsu Run</v>
      </c>
      <c r="B222" s="3" t="str">
        <f>IFERROR(__xludf.DUMMYFUNCTION("""COMPUTED_VALUE"""),"Taitan Tangsang ")</f>
        <v>Taitan Tangsang </v>
      </c>
      <c r="C222" s="3" t="str">
        <f>IFERROR(__xludf.DUMMYFUNCTION("""COMPUTED_VALUE"""),"taitantangsang@gmail.com")</f>
        <v>taitantangsang@gmail.com</v>
      </c>
      <c r="D222" s="3" t="str">
        <f>IFERROR(__xludf.DUMMYFUNCTION("""COMPUTED_VALUE"""),"01726098500")</f>
        <v>01726098500</v>
      </c>
      <c r="E222" s="3" t="str">
        <f>IFERROR(__xludf.DUMMYFUNCTION("""COMPUTED_VALUE"""),"S")</f>
        <v>S</v>
      </c>
      <c r="F222" s="3">
        <v>721.0</v>
      </c>
    </row>
    <row r="223">
      <c r="A223" s="3" t="str">
        <f>IFERROR(__xludf.DUMMYFUNCTION("""COMPUTED_VALUE"""),"DGM0LKC142")</f>
        <v>DGM0LKC142</v>
      </c>
      <c r="B223" s="3" t="str">
        <f>IFERROR(__xludf.DUMMYFUNCTION("""COMPUTED_VALUE"""),"Anjuman Anannya")</f>
        <v>Anjuman Anannya</v>
      </c>
      <c r="C223" s="3" t="str">
        <f>IFERROR(__xludf.DUMMYFUNCTION("""COMPUTED_VALUE"""),"anjumananannya@gmail.com")</f>
        <v>anjumananannya@gmail.com</v>
      </c>
      <c r="D223" s="3" t="str">
        <f>IFERROR(__xludf.DUMMYFUNCTION("""COMPUTED_VALUE"""),"01795682800")</f>
        <v>01795682800</v>
      </c>
      <c r="E223" s="3" t="str">
        <f>IFERROR(__xludf.DUMMYFUNCTION("""COMPUTED_VALUE"""),"L")</f>
        <v>L</v>
      </c>
      <c r="F223" s="3">
        <v>722.0</v>
      </c>
    </row>
    <row r="224">
      <c r="A224" s="3" t="str">
        <f>IFERROR(__xludf.DUMMYFUNCTION("""COMPUTED_VALUE"""),"DGM5LKHMZZ")</f>
        <v>DGM5LKHMZZ</v>
      </c>
      <c r="B224" s="3" t="str">
        <f>IFERROR(__xludf.DUMMYFUNCTION("""COMPUTED_VALUE"""),"Mst Riney Khatun ")</f>
        <v>Mst Riney Khatun </v>
      </c>
      <c r="C224" s="3" t="str">
        <f>IFERROR(__xludf.DUMMYFUNCTION("""COMPUTED_VALUE"""),"mstrineykhatun691@gmail.com")</f>
        <v>mstrineykhatun691@gmail.com</v>
      </c>
      <c r="D224" s="3" t="str">
        <f>IFERROR(__xludf.DUMMYFUNCTION("""COMPUTED_VALUE"""),"01739280610")</f>
        <v>01739280610</v>
      </c>
      <c r="E224" s="3" t="str">
        <f>IFERROR(__xludf.DUMMYFUNCTION("""COMPUTED_VALUE"""),"L")</f>
        <v>L</v>
      </c>
      <c r="F224" s="3">
        <v>723.0</v>
      </c>
    </row>
    <row r="225">
      <c r="A225" s="3" t="str">
        <f>IFERROR(__xludf.DUMMYFUNCTION("""COMPUTED_VALUE"""),"DGM5LKSSUD")</f>
        <v>DGM5LKSSUD</v>
      </c>
      <c r="B225" s="3" t="str">
        <f>IFERROR(__xludf.DUMMYFUNCTION("""COMPUTED_VALUE"""),"Priyanka Sarker ")</f>
        <v>Priyanka Sarker </v>
      </c>
      <c r="C225" s="3" t="str">
        <f>IFERROR(__xludf.DUMMYFUNCTION("""COMPUTED_VALUE"""),"priyankasarker692@gmail.com")</f>
        <v>priyankasarker692@gmail.com</v>
      </c>
      <c r="D225" s="3" t="str">
        <f>IFERROR(__xludf.DUMMYFUNCTION("""COMPUTED_VALUE"""),"01773473672")</f>
        <v>01773473672</v>
      </c>
      <c r="E225" s="3" t="str">
        <f>IFERROR(__xludf.DUMMYFUNCTION("""COMPUTED_VALUE"""),"XL")</f>
        <v>XL</v>
      </c>
      <c r="F225" s="3">
        <v>724.0</v>
      </c>
    </row>
    <row r="226">
      <c r="A226" s="3" t="str">
        <f>IFERROR(__xludf.DUMMYFUNCTION("""COMPUTED_VALUE"""),"DGM4LKRG0U")</f>
        <v>DGM4LKRG0U</v>
      </c>
      <c r="B226" s="3" t="str">
        <f>IFERROR(__xludf.DUMMYFUNCTION("""COMPUTED_VALUE"""),"Md Mahmudul Hasan Shiam")</f>
        <v>Md Mahmudul Hasan Shiam</v>
      </c>
      <c r="C226" s="3" t="str">
        <f>IFERROR(__xludf.DUMMYFUNCTION("""COMPUTED_VALUE"""),"mahmudulhasanshiam@gmail.com")</f>
        <v>mahmudulhasanshiam@gmail.com</v>
      </c>
      <c r="D226" s="3" t="str">
        <f>IFERROR(__xludf.DUMMYFUNCTION("""COMPUTED_VALUE"""),"01752080840")</f>
        <v>01752080840</v>
      </c>
      <c r="E226" s="3" t="str">
        <f>IFERROR(__xludf.DUMMYFUNCTION("""COMPUTED_VALUE"""),"XL")</f>
        <v>XL</v>
      </c>
      <c r="F226" s="3">
        <v>725.0</v>
      </c>
    </row>
    <row r="227">
      <c r="A227" s="3" t="str">
        <f>IFERROR(__xludf.DUMMYFUNCTION("""COMPUTED_VALUE"""),"DGM2LKZVV4")</f>
        <v>DGM2LKZVV4</v>
      </c>
      <c r="B227" s="3" t="str">
        <f>IFERROR(__xludf.DUMMYFUNCTION("""COMPUTED_VALUE"""),"MD. KHORSED ALAM ")</f>
        <v>MD. KHORSED ALAM </v>
      </c>
      <c r="C227" s="3" t="str">
        <f>IFERROR(__xludf.DUMMYFUNCTION("""COMPUTED_VALUE"""),"mdkhorshedbd55@gmail.com")</f>
        <v>mdkhorshedbd55@gmail.com</v>
      </c>
      <c r="D227" s="3" t="str">
        <f>IFERROR(__xludf.DUMMYFUNCTION("""COMPUTED_VALUE"""),"01707789076")</f>
        <v>01707789076</v>
      </c>
      <c r="E227" s="3" t="str">
        <f>IFERROR(__xludf.DUMMYFUNCTION("""COMPUTED_VALUE"""),"L")</f>
        <v>L</v>
      </c>
      <c r="F227" s="3">
        <v>726.0</v>
      </c>
    </row>
    <row r="228">
      <c r="A228" s="3" t="str">
        <f>IFERROR(__xludf.DUMMYFUNCTION("""COMPUTED_VALUE"""),"DGM0LL875I")</f>
        <v>DGM0LL875I</v>
      </c>
      <c r="B228" s="3" t="str">
        <f>IFERROR(__xludf.DUMMYFUNCTION("""COMPUTED_VALUE"""),"MD habibur Rahman Sagor")</f>
        <v>MD habibur Rahman Sagor</v>
      </c>
      <c r="C228" s="3" t="str">
        <f>IFERROR(__xludf.DUMMYFUNCTION("""COMPUTED_VALUE"""),"mdhabiburrahmansagor7@gmail.com")</f>
        <v>mdhabiburrahmansagor7@gmail.com</v>
      </c>
      <c r="D228" s="3" t="str">
        <f>IFERROR(__xludf.DUMMYFUNCTION("""COMPUTED_VALUE"""),"01762159867")</f>
        <v>01762159867</v>
      </c>
      <c r="E228" s="3" t="str">
        <f>IFERROR(__xludf.DUMMYFUNCTION("""COMPUTED_VALUE"""),"XL")</f>
        <v>XL</v>
      </c>
      <c r="F228" s="3">
        <v>727.0</v>
      </c>
    </row>
    <row r="229">
      <c r="A229" s="3" t="str">
        <f>IFERROR(__xludf.DUMMYFUNCTION("""COMPUTED_VALUE"""),"DGM3LLDE1D")</f>
        <v>DGM3LLDE1D</v>
      </c>
      <c r="B229" s="3" t="str">
        <f>IFERROR(__xludf.DUMMYFUNCTION("""COMPUTED_VALUE"""),"Md. Shajedul Islam sajid")</f>
        <v>Md. Shajedul Islam sajid</v>
      </c>
      <c r="C229" s="3" t="str">
        <f>IFERROR(__xludf.DUMMYFUNCTION("""COMPUTED_VALUE"""),"ishajedul46@gmail.com")</f>
        <v>ishajedul46@gmail.com</v>
      </c>
      <c r="D229" s="3" t="str">
        <f>IFERROR(__xludf.DUMMYFUNCTION("""COMPUTED_VALUE"""),"01613040674")</f>
        <v>01613040674</v>
      </c>
      <c r="E229" s="3" t="str">
        <f>IFERROR(__xludf.DUMMYFUNCTION("""COMPUTED_VALUE"""),"2XL")</f>
        <v>2XL</v>
      </c>
      <c r="F229" s="3">
        <v>728.0</v>
      </c>
    </row>
    <row r="230">
      <c r="A230" s="3" t="str">
        <f>IFERROR(__xludf.DUMMYFUNCTION("""COMPUTED_VALUE"""),"DGM7LM48LV")</f>
        <v>DGM7LM48LV</v>
      </c>
      <c r="B230" s="3" t="str">
        <f>IFERROR(__xludf.DUMMYFUNCTION("""COMPUTED_VALUE"""),"Sajjad Hossain")</f>
        <v>Sajjad Hossain</v>
      </c>
      <c r="C230" s="3" t="str">
        <f>IFERROR(__xludf.DUMMYFUNCTION("""COMPUTED_VALUE"""),"hoosain.sajjad@gmail.com")</f>
        <v>hoosain.sajjad@gmail.com</v>
      </c>
      <c r="D230" s="3" t="str">
        <f>IFERROR(__xludf.DUMMYFUNCTION("""COMPUTED_VALUE"""),"01755367448")</f>
        <v>01755367448</v>
      </c>
      <c r="E230" s="3" t="str">
        <f>IFERROR(__xludf.DUMMYFUNCTION("""COMPUTED_VALUE"""),"2XL")</f>
        <v>2XL</v>
      </c>
      <c r="F230" s="3">
        <v>729.0</v>
      </c>
    </row>
    <row r="231">
      <c r="A231" s="3" t="str">
        <f>IFERROR(__xludf.DUMMYFUNCTION("""COMPUTED_VALUE"""),"DGM5LT5ME9")</f>
        <v>DGM5LT5ME9</v>
      </c>
      <c r="B231" s="3" t="str">
        <f>IFERROR(__xludf.DUMMYFUNCTION("""COMPUTED_VALUE"""),"Md. Khademul Islam")</f>
        <v>Md. Khademul Islam</v>
      </c>
      <c r="C231" s="3" t="str">
        <f>IFERROR(__xludf.DUMMYFUNCTION("""COMPUTED_VALUE"""),"khademulrcs20@gmail.com")</f>
        <v>khademulrcs20@gmail.com</v>
      </c>
      <c r="D231" s="3" t="str">
        <f>IFERROR(__xludf.DUMMYFUNCTION("""COMPUTED_VALUE"""),"01929134869")</f>
        <v>01929134869</v>
      </c>
      <c r="E231" s="3" t="str">
        <f>IFERROR(__xludf.DUMMYFUNCTION("""COMPUTED_VALUE"""),"2XL")</f>
        <v>2XL</v>
      </c>
      <c r="F231" s="3">
        <v>730.0</v>
      </c>
    </row>
    <row r="232">
      <c r="A232" s="3" t="str">
        <f>IFERROR(__xludf.DUMMYFUNCTION("""COMPUTED_VALUE"""),"DGM9LUVQ47")</f>
        <v>DGM9LUVQ47</v>
      </c>
      <c r="B232" s="3" t="str">
        <f>IFERROR(__xludf.DUMMYFUNCTION("""COMPUTED_VALUE"""),"Rabeya Akter Nilima")</f>
        <v>Rabeya Akter Nilima</v>
      </c>
      <c r="C232" s="3" t="str">
        <f>IFERROR(__xludf.DUMMYFUNCTION("""COMPUTED_VALUE"""),"nilima0346@gmail.com")</f>
        <v>nilima0346@gmail.com</v>
      </c>
      <c r="D232" s="3" t="str">
        <f>IFERROR(__xludf.DUMMYFUNCTION("""COMPUTED_VALUE"""),"01632728360")</f>
        <v>01632728360</v>
      </c>
      <c r="E232" s="3" t="str">
        <f>IFERROR(__xludf.DUMMYFUNCTION("""COMPUTED_VALUE"""),"L")</f>
        <v>L</v>
      </c>
      <c r="F232" s="3">
        <v>731.0</v>
      </c>
    </row>
    <row r="233">
      <c r="A233" s="3" t="str">
        <f>IFERROR(__xludf.DUMMYFUNCTION("""COMPUTED_VALUE"""),"DGM8LWP3IY")</f>
        <v>DGM8LWP3IY</v>
      </c>
      <c r="B233" s="3" t="str">
        <f>IFERROR(__xludf.DUMMYFUNCTION("""COMPUTED_VALUE"""),"Afrin Akter Snigdha ")</f>
        <v>Afrin Akter Snigdha </v>
      </c>
      <c r="C233" s="3" t="str">
        <f>IFERROR(__xludf.DUMMYFUNCTION("""COMPUTED_VALUE"""),"snigdha60111@gmail.com")</f>
        <v>snigdha60111@gmail.com</v>
      </c>
      <c r="D233" s="3" t="str">
        <f>IFERROR(__xludf.DUMMYFUNCTION("""COMPUTED_VALUE"""),"01942030886")</f>
        <v>01942030886</v>
      </c>
      <c r="E233" s="3" t="str">
        <f>IFERROR(__xludf.DUMMYFUNCTION("""COMPUTED_VALUE"""),"L")</f>
        <v>L</v>
      </c>
      <c r="F233" s="3">
        <v>732.0</v>
      </c>
    </row>
    <row r="234">
      <c r="A234" s="3" t="str">
        <f>IFERROR(__xludf.DUMMYFUNCTION("""COMPUTED_VALUE"""),"DGM4LWMPMC")</f>
        <v>DGM4LWMPMC</v>
      </c>
      <c r="B234" s="3" t="str">
        <f>IFERROR(__xludf.DUMMYFUNCTION("""COMPUTED_VALUE"""),"Mst: Sumaya Parvin")</f>
        <v>Mst: Sumaya Parvin</v>
      </c>
      <c r="C234" s="3" t="str">
        <f>IFERROR(__xludf.DUMMYFUNCTION("""COMPUTED_VALUE"""),"sumayaparvin51batch1847@gmail.com")</f>
        <v>sumayaparvin51batch1847@gmail.com</v>
      </c>
      <c r="D234" s="3" t="str">
        <f>IFERROR(__xludf.DUMMYFUNCTION("""COMPUTED_VALUE"""),"01640043503")</f>
        <v>01640043503</v>
      </c>
      <c r="E234" s="3" t="str">
        <f>IFERROR(__xludf.DUMMYFUNCTION("""COMPUTED_VALUE"""),"M")</f>
        <v>M</v>
      </c>
      <c r="F234" s="3">
        <v>733.0</v>
      </c>
    </row>
    <row r="235">
      <c r="A235" s="3" t="str">
        <f>IFERROR(__xludf.DUMMYFUNCTION("""COMPUTED_VALUE"""),"DGM9LXOFU1")</f>
        <v>DGM9LXOFU1</v>
      </c>
      <c r="B235" s="3" t="str">
        <f>IFERROR(__xludf.DUMMYFUNCTION("""COMPUTED_VALUE"""),"Md. Palash Ahmed ")</f>
        <v>Md. Palash Ahmed </v>
      </c>
      <c r="C235" s="3" t="str">
        <f>IFERROR(__xludf.DUMMYFUNCTION("""COMPUTED_VALUE"""),"palashahmed7276@gmail.com")</f>
        <v>palashahmed7276@gmail.com</v>
      </c>
      <c r="D235" s="3" t="str">
        <f>IFERROR(__xludf.DUMMYFUNCTION("""COMPUTED_VALUE"""),"01580597276")</f>
        <v>01580597276</v>
      </c>
      <c r="E235" s="3" t="str">
        <f>IFERROR(__xludf.DUMMYFUNCTION("""COMPUTED_VALUE"""),"L")</f>
        <v>L</v>
      </c>
      <c r="F235" s="3">
        <v>734.0</v>
      </c>
    </row>
    <row r="236">
      <c r="A236" s="3" t="str">
        <f>IFERROR(__xludf.DUMMYFUNCTION("""COMPUTED_VALUE"""),"DGM6M03O34")</f>
        <v>DGM6M03O34</v>
      </c>
      <c r="B236" s="3" t="str">
        <f>IFERROR(__xludf.DUMMYFUNCTION("""COMPUTED_VALUE"""),"Rubina Akter ")</f>
        <v>Rubina Akter </v>
      </c>
      <c r="C236" s="3" t="str">
        <f>IFERROR(__xludf.DUMMYFUNCTION("""COMPUTED_VALUE"""),"rubinamim985@gmail.com")</f>
        <v>rubinamim985@gmail.com</v>
      </c>
      <c r="D236" s="3" t="str">
        <f>IFERROR(__xludf.DUMMYFUNCTION("""COMPUTED_VALUE"""),"01741424190")</f>
        <v>01741424190</v>
      </c>
      <c r="E236" s="3" t="str">
        <f>IFERROR(__xludf.DUMMYFUNCTION("""COMPUTED_VALUE"""),"XL")</f>
        <v>XL</v>
      </c>
      <c r="F236" s="3">
        <v>735.0</v>
      </c>
    </row>
    <row r="237">
      <c r="A237" s="3" t="str">
        <f>IFERROR(__xludf.DUMMYFUNCTION("""COMPUTED_VALUE"""),"DGM1M169GR")</f>
        <v>DGM1M169GR</v>
      </c>
      <c r="B237" s="3" t="str">
        <f>IFERROR(__xludf.DUMMYFUNCTION("""COMPUTED_VALUE"""),"Md.Musfiqur Rahman Asif")</f>
        <v>Md.Musfiqur Rahman Asif</v>
      </c>
      <c r="C237" s="3" t="str">
        <f>IFERROR(__xludf.DUMMYFUNCTION("""COMPUTED_VALUE"""),"asif742004@gmail.com")</f>
        <v>asif742004@gmail.com</v>
      </c>
      <c r="D237" s="3" t="str">
        <f>IFERROR(__xludf.DUMMYFUNCTION("""COMPUTED_VALUE"""),"01997131306")</f>
        <v>01997131306</v>
      </c>
      <c r="E237" s="3" t="str">
        <f>IFERROR(__xludf.DUMMYFUNCTION("""COMPUTED_VALUE"""),"L")</f>
        <v>L</v>
      </c>
      <c r="F237" s="3">
        <v>736.0</v>
      </c>
    </row>
    <row r="238">
      <c r="A238" s="3" t="str">
        <f>IFERROR(__xludf.DUMMYFUNCTION("""COMPUTED_VALUE"""),"DGM1M45FRN")</f>
        <v>DGM1M45FRN</v>
      </c>
      <c r="B238" s="3" t="str">
        <f>IFERROR(__xludf.DUMMYFUNCTION("""COMPUTED_VALUE"""),"Maya Akter")</f>
        <v>Maya Akter</v>
      </c>
      <c r="C238" s="3" t="str">
        <f>IFERROR(__xludf.DUMMYFUNCTION("""COMPUTED_VALUE"""),"mayaakter9356@gmail.com")</f>
        <v>mayaakter9356@gmail.com</v>
      </c>
      <c r="D238" s="3" t="str">
        <f>IFERROR(__xludf.DUMMYFUNCTION("""COMPUTED_VALUE"""),"01790766288")</f>
        <v>01790766288</v>
      </c>
      <c r="E238" s="3" t="str">
        <f>IFERROR(__xludf.DUMMYFUNCTION("""COMPUTED_VALUE"""),"L")</f>
        <v>L</v>
      </c>
      <c r="F238" s="3">
        <v>737.0</v>
      </c>
    </row>
    <row r="239">
      <c r="A239" s="3" t="str">
        <f>IFERROR(__xludf.DUMMYFUNCTION("""COMPUTED_VALUE"""),"DGM9M6NRRT")</f>
        <v>DGM9M6NRRT</v>
      </c>
      <c r="B239" s="3" t="str">
        <f>IFERROR(__xludf.DUMMYFUNCTION("""COMPUTED_VALUE"""),"Tasnova Reza ")</f>
        <v>Tasnova Reza </v>
      </c>
      <c r="C239" s="3" t="str">
        <f>IFERROR(__xludf.DUMMYFUNCTION("""COMPUTED_VALUE"""),"tasnovareza2@gmail.com")</f>
        <v>tasnovareza2@gmail.com</v>
      </c>
      <c r="D239" s="3" t="str">
        <f>IFERROR(__xludf.DUMMYFUNCTION("""COMPUTED_VALUE"""),"01779124834")</f>
        <v>01779124834</v>
      </c>
      <c r="E239" s="3" t="str">
        <f>IFERROR(__xludf.DUMMYFUNCTION("""COMPUTED_VALUE"""),"M")</f>
        <v>M</v>
      </c>
      <c r="F239" s="3">
        <v>738.0</v>
      </c>
    </row>
    <row r="240">
      <c r="A240" s="3" t="str">
        <f>IFERROR(__xludf.DUMMYFUNCTION("""COMPUTED_VALUE"""),"DGM3M80TPT")</f>
        <v>DGM3M80TPT</v>
      </c>
      <c r="B240" s="3" t="str">
        <f>IFERROR(__xludf.DUMMYFUNCTION("""COMPUTED_VALUE"""),"Ummy Mahjabin ")</f>
        <v>Ummy Mahjabin </v>
      </c>
      <c r="C240" s="3" t="str">
        <f>IFERROR(__xludf.DUMMYFUNCTION("""COMPUTED_VALUE"""),"ummymahjabin694@gmail.com")</f>
        <v>ummymahjabin694@gmail.com</v>
      </c>
      <c r="D240" s="3" t="str">
        <f>IFERROR(__xludf.DUMMYFUNCTION("""COMPUTED_VALUE"""),"01738879038")</f>
        <v>01738879038</v>
      </c>
      <c r="E240" s="3" t="str">
        <f>IFERROR(__xludf.DUMMYFUNCTION("""COMPUTED_VALUE"""),"L")</f>
        <v>L</v>
      </c>
      <c r="F240" s="3">
        <v>739.0</v>
      </c>
    </row>
    <row r="241">
      <c r="A241" s="3" t="str">
        <f>IFERROR(__xludf.DUMMYFUNCTION("""COMPUTED_VALUE"""),"DGM3M8ANX7")</f>
        <v>DGM3M8ANX7</v>
      </c>
      <c r="B241" s="3" t="str">
        <f>IFERROR(__xludf.DUMMYFUNCTION("""COMPUTED_VALUE"""),"Rubayet Nafiz Mustak Jelan ")</f>
        <v>Rubayet Nafiz Mustak Jelan </v>
      </c>
      <c r="C241" s="3" t="str">
        <f>IFERROR(__xludf.DUMMYFUNCTION("""COMPUTED_VALUE"""),"rjjelan@gmail.com")</f>
        <v>rjjelan@gmail.com</v>
      </c>
      <c r="D241" s="3" t="str">
        <f>IFERROR(__xludf.DUMMYFUNCTION("""COMPUTED_VALUE"""),"01521255714")</f>
        <v>01521255714</v>
      </c>
      <c r="E241" s="3" t="str">
        <f>IFERROR(__xludf.DUMMYFUNCTION("""COMPUTED_VALUE"""),"L")</f>
        <v>L</v>
      </c>
      <c r="F241" s="3">
        <v>740.0</v>
      </c>
    </row>
    <row r="242">
      <c r="A242" s="3" t="str">
        <f>IFERROR(__xludf.DUMMYFUNCTION("""COMPUTED_VALUE"""),"DGM9MHBXZL")</f>
        <v>DGM9MHBXZL</v>
      </c>
      <c r="B242" s="3" t="str">
        <f>IFERROR(__xludf.DUMMYFUNCTION("""COMPUTED_VALUE"""),"Mohammad Ashikur Rahman Khan  Titas")</f>
        <v>Mohammad Ashikur Rahman Khan  Titas</v>
      </c>
      <c r="C242" s="3" t="str">
        <f>IFERROR(__xludf.DUMMYFUNCTION("""COMPUTED_VALUE"""),"titasju1978@gmail ")</f>
        <v>titasju1978@gmail </v>
      </c>
      <c r="D242" s="3" t="str">
        <f>IFERROR(__xludf.DUMMYFUNCTION("""COMPUTED_VALUE"""),"01552398044")</f>
        <v>01552398044</v>
      </c>
      <c r="E242" s="3" t="str">
        <f>IFERROR(__xludf.DUMMYFUNCTION("""COMPUTED_VALUE"""),"3XL")</f>
        <v>3XL</v>
      </c>
      <c r="F242" s="3">
        <v>741.0</v>
      </c>
    </row>
    <row r="243">
      <c r="A243" s="3" t="str">
        <f>IFERROR(__xludf.DUMMYFUNCTION("""COMPUTED_VALUE"""),"DGM1MJSKO3")</f>
        <v>DGM1MJSKO3</v>
      </c>
      <c r="B243" s="3" t="str">
        <f>IFERROR(__xludf.DUMMYFUNCTION("""COMPUTED_VALUE"""),"Harun Ar Rashid ")</f>
        <v>Harun Ar Rashid </v>
      </c>
      <c r="C243" s="3" t="str">
        <f>IFERROR(__xludf.DUMMYFUNCTION("""COMPUTED_VALUE"""),"harun86gp@gmail ")</f>
        <v>harun86gp@gmail </v>
      </c>
      <c r="D243" s="3" t="str">
        <f>IFERROR(__xludf.DUMMYFUNCTION("""COMPUTED_VALUE"""),"01612433839")</f>
        <v>01612433839</v>
      </c>
      <c r="E243" s="3" t="str">
        <f>IFERROR(__xludf.DUMMYFUNCTION("""COMPUTED_VALUE"""),"L")</f>
        <v>L</v>
      </c>
      <c r="F243" s="3">
        <v>742.0</v>
      </c>
    </row>
    <row r="244">
      <c r="A244" s="3" t="str">
        <f>IFERROR(__xludf.DUMMYFUNCTION("""COMPUTED_VALUE"""),"DGM7MKO6A5")</f>
        <v>DGM7MKO6A5</v>
      </c>
      <c r="B244" s="3" t="str">
        <f>IFERROR(__xludf.DUMMYFUNCTION("""COMPUTED_VALUE"""),"Rajin Hossain Imran ")</f>
        <v>Rajin Hossain Imran </v>
      </c>
      <c r="C244" s="3" t="str">
        <f>IFERROR(__xludf.DUMMYFUNCTION("""COMPUTED_VALUE"""),"rajinhossainimran@gmail.com")</f>
        <v>rajinhossainimran@gmail.com</v>
      </c>
      <c r="D244" s="3" t="str">
        <f>IFERROR(__xludf.DUMMYFUNCTION("""COMPUTED_VALUE"""),"01822569177")</f>
        <v>01822569177</v>
      </c>
      <c r="E244" s="3" t="str">
        <f>IFERROR(__xludf.DUMMYFUNCTION("""COMPUTED_VALUE"""),"2XL")</f>
        <v>2XL</v>
      </c>
      <c r="F244" s="3">
        <v>743.0</v>
      </c>
    </row>
    <row r="245">
      <c r="A245" s="3" t="str">
        <f>IFERROR(__xludf.DUMMYFUNCTION("""COMPUTED_VALUE"""),"DGM1MN0M0J")</f>
        <v>DGM1MN0M0J</v>
      </c>
      <c r="B245" s="3" t="str">
        <f>IFERROR(__xludf.DUMMYFUNCTION("""COMPUTED_VALUE"""),"Nipatul Hasan Nirob ")</f>
        <v>Nipatul Hasan Nirob </v>
      </c>
      <c r="C245" s="3" t="str">
        <f>IFERROR(__xludf.DUMMYFUNCTION("""COMPUTED_VALUE"""),"nipatulhasan@gmail.com")</f>
        <v>nipatulhasan@gmail.com</v>
      </c>
      <c r="D245" s="3" t="str">
        <f>IFERROR(__xludf.DUMMYFUNCTION("""COMPUTED_VALUE"""),"01518921973")</f>
        <v>01518921973</v>
      </c>
      <c r="E245" s="3" t="str">
        <f>IFERROR(__xludf.DUMMYFUNCTION("""COMPUTED_VALUE"""),"M")</f>
        <v>M</v>
      </c>
      <c r="F245" s="3">
        <v>744.0</v>
      </c>
    </row>
    <row r="246">
      <c r="A246" s="3" t="str">
        <f>IFERROR(__xludf.DUMMYFUNCTION("""COMPUTED_VALUE"""),"DGM1MNMDU1")</f>
        <v>DGM1MNMDU1</v>
      </c>
      <c r="B246" s="3" t="str">
        <f>IFERROR(__xludf.DUMMYFUNCTION("""COMPUTED_VALUE"""),"Ahmed Arefin Ratul ")</f>
        <v>Ahmed Arefin Ratul </v>
      </c>
      <c r="C246" s="3" t="str">
        <f>IFERROR(__xludf.DUMMYFUNCTION("""COMPUTED_VALUE"""),"arefinratul3@gmail.com")</f>
        <v>arefinratul3@gmail.com</v>
      </c>
      <c r="D246" s="3" t="str">
        <f>IFERROR(__xludf.DUMMYFUNCTION("""COMPUTED_VALUE"""),"01617792134")</f>
        <v>01617792134</v>
      </c>
      <c r="E246" s="3" t="str">
        <f>IFERROR(__xludf.DUMMYFUNCTION("""COMPUTED_VALUE"""),"L")</f>
        <v>L</v>
      </c>
      <c r="F246" s="3">
        <v>745.0</v>
      </c>
    </row>
    <row r="247">
      <c r="A247" s="3" t="str">
        <f>IFERROR(__xludf.DUMMYFUNCTION("""COMPUTED_VALUE"""),"DGN5MP4SO7")</f>
        <v>DGN5MP4SO7</v>
      </c>
      <c r="B247" s="3" t="str">
        <f>IFERROR(__xludf.DUMMYFUNCTION("""COMPUTED_VALUE"""),"Afifa Tabassum")</f>
        <v>Afifa Tabassum</v>
      </c>
      <c r="C247" s="3" t="str">
        <f>IFERROR(__xludf.DUMMYFUNCTION("""COMPUTED_VALUE"""),"afifa.tabassum.ch@gmail.com")</f>
        <v>afifa.tabassum.ch@gmail.com</v>
      </c>
      <c r="D247" s="3" t="str">
        <f>IFERROR(__xludf.DUMMYFUNCTION("""COMPUTED_VALUE"""),"01973317353")</f>
        <v>01973317353</v>
      </c>
      <c r="E247" s="3" t="str">
        <f>IFERROR(__xludf.DUMMYFUNCTION("""COMPUTED_VALUE"""),"L")</f>
        <v>L</v>
      </c>
      <c r="F247" s="3">
        <v>746.0</v>
      </c>
    </row>
    <row r="248">
      <c r="A248" s="3" t="str">
        <f>IFERROR(__xludf.DUMMYFUNCTION("""COMPUTED_VALUE""")," DGN6MQE950")</f>
        <v> DGN6MQE950</v>
      </c>
      <c r="B248" s="3" t="str">
        <f>IFERROR(__xludf.DUMMYFUNCTION("""COMPUTED_VALUE"""),"Tafhim Islam Adnan ")</f>
        <v>Tafhim Islam Adnan </v>
      </c>
      <c r="C248" s="3" t="str">
        <f>IFERROR(__xludf.DUMMYFUNCTION("""COMPUTED_VALUE"""),"tafhimislam1020@gmail.com")</f>
        <v>tafhimislam1020@gmail.com</v>
      </c>
      <c r="D248" s="3" t="str">
        <f>IFERROR(__xludf.DUMMYFUNCTION("""COMPUTED_VALUE"""),"01408996019")</f>
        <v>01408996019</v>
      </c>
      <c r="E248" s="3" t="str">
        <f>IFERROR(__xludf.DUMMYFUNCTION("""COMPUTED_VALUE"""),"XL")</f>
        <v>XL</v>
      </c>
      <c r="F248" s="3">
        <v>747.0</v>
      </c>
    </row>
    <row r="249">
      <c r="A249" s="3" t="str">
        <f>IFERROR(__xludf.DUMMYFUNCTION("""COMPUTED_VALUE"""),"Kiron bhai")</f>
        <v>Kiron bhai</v>
      </c>
      <c r="B249" s="3" t="str">
        <f>IFERROR(__xludf.DUMMYFUNCTION("""COMPUTED_VALUE"""),"Mahathir Muhammad ")</f>
        <v>Mahathir Muhammad </v>
      </c>
      <c r="C249" s="3" t="str">
        <f>IFERROR(__xludf.DUMMYFUNCTION("""COMPUTED_VALUE"""),"mahathirmahathir095@gmail.com")</f>
        <v>mahathirmahathir095@gmail.com</v>
      </c>
      <c r="D249" s="3" t="str">
        <f>IFERROR(__xludf.DUMMYFUNCTION("""COMPUTED_VALUE"""),"01706221276")</f>
        <v>01706221276</v>
      </c>
      <c r="E249" s="3" t="str">
        <f>IFERROR(__xludf.DUMMYFUNCTION("""COMPUTED_VALUE"""),"M")</f>
        <v>M</v>
      </c>
      <c r="F249" s="3">
        <v>748.0</v>
      </c>
    </row>
    <row r="250">
      <c r="A250" s="3" t="str">
        <f>IFERROR(__xludf.DUMMYFUNCTION("""COMPUTED_VALUE"""),"DGN5MR5DE9")</f>
        <v>DGN5MR5DE9</v>
      </c>
      <c r="B250" s="3" t="str">
        <f>IFERROR(__xludf.DUMMYFUNCTION("""COMPUTED_VALUE"""),"S. M. Shahriar Hossain")</f>
        <v>S. M. Shahriar Hossain</v>
      </c>
      <c r="C250" s="3" t="str">
        <f>IFERROR(__xludf.DUMMYFUNCTION("""COMPUTED_VALUE"""),"smshahriararnob@gmail.com")</f>
        <v>smshahriararnob@gmail.com</v>
      </c>
      <c r="D250" s="3" t="str">
        <f>IFERROR(__xludf.DUMMYFUNCTION("""COMPUTED_VALUE"""),"01978749551")</f>
        <v>01978749551</v>
      </c>
      <c r="E250" s="3" t="str">
        <f>IFERROR(__xludf.DUMMYFUNCTION("""COMPUTED_VALUE"""),"M")</f>
        <v>M</v>
      </c>
      <c r="F250" s="3">
        <v>749.0</v>
      </c>
    </row>
    <row r="251">
      <c r="A251" s="3" t="str">
        <f>IFERROR(__xludf.DUMMYFUNCTION("""COMPUTED_VALUE"""),"DGN6MR5WFK")</f>
        <v>DGN6MR5WFK</v>
      </c>
      <c r="B251" s="3" t="str">
        <f>IFERROR(__xludf.DUMMYFUNCTION("""COMPUTED_VALUE"""),"Md. Junayed Islam ")</f>
        <v>Md. Junayed Islam </v>
      </c>
      <c r="C251" s="3" t="str">
        <f>IFERROR(__xludf.DUMMYFUNCTION("""COMPUTED_VALUE"""),"junayedislam1001@gmail.com")</f>
        <v>junayedislam1001@gmail.com</v>
      </c>
      <c r="D251" s="3" t="str">
        <f>IFERROR(__xludf.DUMMYFUNCTION("""COMPUTED_VALUE"""),"01537122653")</f>
        <v>01537122653</v>
      </c>
      <c r="E251" s="3" t="str">
        <f>IFERROR(__xludf.DUMMYFUNCTION("""COMPUTED_VALUE"""),"L")</f>
        <v>L</v>
      </c>
      <c r="F251" s="3">
        <v>750.0</v>
      </c>
    </row>
    <row r="252">
      <c r="A252" s="3" t="str">
        <f>IFERROR(__xludf.DUMMYFUNCTION("""COMPUTED_VALUE"""),"DGN5MU71DR")</f>
        <v>DGN5MU71DR</v>
      </c>
      <c r="B252" s="3" t="str">
        <f>IFERROR(__xludf.DUMMYFUNCTION("""COMPUTED_VALUE"""),"Nishat Tarannum ")</f>
        <v>Nishat Tarannum </v>
      </c>
      <c r="C252" s="3" t="str">
        <f>IFERROR(__xludf.DUMMYFUNCTION("""COMPUTED_VALUE"""),"tarannumn950@gmail.com")</f>
        <v>tarannumn950@gmail.com</v>
      </c>
      <c r="D252" s="3" t="str">
        <f>IFERROR(__xludf.DUMMYFUNCTION("""COMPUTED_VALUE"""),"01894635701")</f>
        <v>01894635701</v>
      </c>
      <c r="E252" s="3" t="str">
        <f>IFERROR(__xludf.DUMMYFUNCTION("""COMPUTED_VALUE"""),"XL")</f>
        <v>XL</v>
      </c>
      <c r="F252" s="3">
        <v>751.0</v>
      </c>
    </row>
    <row r="253">
      <c r="A253" s="3" t="str">
        <f>IFERROR(__xludf.DUMMYFUNCTION("""COMPUTED_VALUE"""),"DGN8MV61IK")</f>
        <v>DGN8MV61IK</v>
      </c>
      <c r="B253" s="3" t="str">
        <f>IFERROR(__xludf.DUMMYFUNCTION("""COMPUTED_VALUE"""),"Abdullah Mahmud Sajid")</f>
        <v>Abdullah Mahmud Sajid</v>
      </c>
      <c r="C253" s="3" t="str">
        <f>IFERROR(__xludf.DUMMYFUNCTION("""COMPUTED_VALUE"""),"sajidjm30@gmail.com")</f>
        <v>sajidjm30@gmail.com</v>
      </c>
      <c r="D253" s="3" t="str">
        <f>IFERROR(__xludf.DUMMYFUNCTION("""COMPUTED_VALUE"""),"01933661848")</f>
        <v>01933661848</v>
      </c>
      <c r="E253" s="3" t="str">
        <f>IFERROR(__xludf.DUMMYFUNCTION("""COMPUTED_VALUE"""),"XL")</f>
        <v>XL</v>
      </c>
      <c r="F253" s="3">
        <v>752.0</v>
      </c>
    </row>
    <row r="254">
      <c r="A254" s="3" t="str">
        <f>IFERROR(__xludf.DUMMYFUNCTION("""COMPUTED_VALUE"""),"DGN2MZKGR2")</f>
        <v>DGN2MZKGR2</v>
      </c>
      <c r="B254" s="3" t="str">
        <f>IFERROR(__xludf.DUMMYFUNCTION("""COMPUTED_VALUE"""),"Sadman Sakib Zisan")</f>
        <v>Sadman Sakib Zisan</v>
      </c>
      <c r="C254" s="3" t="str">
        <f>IFERROR(__xludf.DUMMYFUNCTION("""COMPUTED_VALUE"""),"sadmansakibzisan12345@gmail.com")</f>
        <v>sadmansakibzisan12345@gmail.com</v>
      </c>
      <c r="D254" s="3" t="str">
        <f>IFERROR(__xludf.DUMMYFUNCTION("""COMPUTED_VALUE"""),"8801410454048")</f>
        <v>8801410454048</v>
      </c>
      <c r="E254" s="3" t="str">
        <f>IFERROR(__xludf.DUMMYFUNCTION("""COMPUTED_VALUE"""),"I don’t know")</f>
        <v>I don’t know</v>
      </c>
      <c r="F254" s="3">
        <v>753.0</v>
      </c>
    </row>
    <row r="255">
      <c r="A255" s="3" t="str">
        <f>IFERROR(__xludf.DUMMYFUNCTION("""COMPUTED_VALUE"""),"DGN6N2XO9A")</f>
        <v>DGN6N2XO9A</v>
      </c>
      <c r="B255" s="3" t="str">
        <f>IFERROR(__xludf.DUMMYFUNCTION("""COMPUTED_VALUE"""),"Emam Hossain Imran")</f>
        <v>Emam Hossain Imran</v>
      </c>
      <c r="C255" s="3" t="str">
        <f>IFERROR(__xludf.DUMMYFUNCTION("""COMPUTED_VALUE"""),"imran71100@gmail.com")</f>
        <v>imran71100@gmail.com</v>
      </c>
      <c r="D255" s="3" t="str">
        <f>IFERROR(__xludf.DUMMYFUNCTION("""COMPUTED_VALUE"""),"01628585959")</f>
        <v>01628585959</v>
      </c>
      <c r="E255" s="3" t="str">
        <f>IFERROR(__xludf.DUMMYFUNCTION("""COMPUTED_VALUE"""),"XL")</f>
        <v>XL</v>
      </c>
      <c r="F255" s="3">
        <v>754.0</v>
      </c>
    </row>
    <row r="256">
      <c r="A256" s="3" t="str">
        <f>IFERROR(__xludf.DUMMYFUNCTION("""COMPUTED_VALUE"""),"DGN0N49ZQ8")</f>
        <v>DGN0N49ZQ8</v>
      </c>
      <c r="B256" s="3" t="str">
        <f>IFERROR(__xludf.DUMMYFUNCTION("""COMPUTED_VALUE"""),"Tanvir Ahmed Shishir ")</f>
        <v>Tanvir Ahmed Shishir </v>
      </c>
      <c r="C256" s="3" t="str">
        <f>IFERROR(__xludf.DUMMYFUNCTION("""COMPUTED_VALUE"""),"tanvir.a.shishir@gmail.com")</f>
        <v>tanvir.a.shishir@gmail.com</v>
      </c>
      <c r="D256" s="3" t="str">
        <f>IFERROR(__xludf.DUMMYFUNCTION("""COMPUTED_VALUE"""),"01913199932")</f>
        <v>01913199932</v>
      </c>
      <c r="E256" s="3" t="str">
        <f>IFERROR(__xludf.DUMMYFUNCTION("""COMPUTED_VALUE"""),"2XL")</f>
        <v>2XL</v>
      </c>
      <c r="F256" s="3">
        <v>755.0</v>
      </c>
    </row>
    <row r="257">
      <c r="A257" s="3" t="str">
        <f>IFERROR(__xludf.DUMMYFUNCTION("""COMPUTED_VALUE"""),"DGN2N4EPFG")</f>
        <v>DGN2N4EPFG</v>
      </c>
      <c r="B257" s="3" t="str">
        <f>IFERROR(__xludf.DUMMYFUNCTION("""COMPUTED_VALUE"""),"Saraf Nower Prionty")</f>
        <v>Saraf Nower Prionty</v>
      </c>
      <c r="C257" s="3" t="str">
        <f>IFERROR(__xludf.DUMMYFUNCTION("""COMPUTED_VALUE"""),"priontysaraf@gmail.com")</f>
        <v>priontysaraf@gmail.com</v>
      </c>
      <c r="D257" s="3" t="str">
        <f>IFERROR(__xludf.DUMMYFUNCTION("""COMPUTED_VALUE"""),"01743832397")</f>
        <v>01743832397</v>
      </c>
      <c r="E257" s="3" t="str">
        <f>IFERROR(__xludf.DUMMYFUNCTION("""COMPUTED_VALUE"""),"L")</f>
        <v>L</v>
      </c>
      <c r="F257" s="3">
        <v>756.0</v>
      </c>
    </row>
    <row r="258">
      <c r="A258" s="3" t="str">
        <f>IFERROR(__xludf.DUMMYFUNCTION("""COMPUTED_VALUE"""),"DGN0N49ZQ8")</f>
        <v>DGN0N49ZQ8</v>
      </c>
      <c r="B258" s="3" t="str">
        <f>IFERROR(__xludf.DUMMYFUNCTION("""COMPUTED_VALUE"""),"Tanvir Ahmed Shishir ")</f>
        <v>Tanvir Ahmed Shishir </v>
      </c>
      <c r="C258" s="3" t="str">
        <f>IFERROR(__xludf.DUMMYFUNCTION("""COMPUTED_VALUE"""),"tanvir.a.shishir@gmail.com")</f>
        <v>tanvir.a.shishir@gmail.com</v>
      </c>
      <c r="D258" s="3" t="str">
        <f>IFERROR(__xludf.DUMMYFUNCTION("""COMPUTED_VALUE"""),"01913199932")</f>
        <v>01913199932</v>
      </c>
      <c r="E258" s="3" t="str">
        <f>IFERROR(__xludf.DUMMYFUNCTION("""COMPUTED_VALUE"""),"2XL")</f>
        <v>2XL</v>
      </c>
      <c r="F258" s="3">
        <v>757.0</v>
      </c>
    </row>
    <row r="259">
      <c r="A259" s="3" t="str">
        <f>IFERROR(__xludf.DUMMYFUNCTION("""COMPUTED_VALUE"""),"DGN2N4TMKO")</f>
        <v>DGN2N4TMKO</v>
      </c>
      <c r="B259" s="3" t="str">
        <f>IFERROR(__xludf.DUMMYFUNCTION("""COMPUTED_VALUE"""),"Ruhanita Huq")</f>
        <v>Ruhanita Huq</v>
      </c>
      <c r="C259" s="3" t="str">
        <f>IFERROR(__xludf.DUMMYFUNCTION("""COMPUTED_VALUE"""),"ruhanitahuq8@gmail.com")</f>
        <v>ruhanitahuq8@gmail.com</v>
      </c>
      <c r="D259" s="3" t="str">
        <f>IFERROR(__xludf.DUMMYFUNCTION("""COMPUTED_VALUE"""),"01841454541")</f>
        <v>01841454541</v>
      </c>
      <c r="E259" s="3" t="str">
        <f>IFERROR(__xludf.DUMMYFUNCTION("""COMPUTED_VALUE"""),"xl")</f>
        <v>xl</v>
      </c>
      <c r="F259" s="3">
        <v>758.0</v>
      </c>
    </row>
    <row r="260">
      <c r="A260" s="3" t="str">
        <f>IFERROR(__xludf.DUMMYFUNCTION("""COMPUTED_VALUE"""),"DGN2N56YS6")</f>
        <v>DGN2N56YS6</v>
      </c>
      <c r="B260" s="3" t="str">
        <f>IFERROR(__xludf.DUMMYFUNCTION("""COMPUTED_VALUE"""),"Md. Shafaat Jamil Likhon ")</f>
        <v>Md. Shafaat Jamil Likhon </v>
      </c>
      <c r="C260" s="3" t="str">
        <f>IFERROR(__xludf.DUMMYFUNCTION("""COMPUTED_VALUE"""),"mdshafaatjamillikhon@gmail")</f>
        <v>mdshafaatjamillikhon@gmail</v>
      </c>
      <c r="D260" s="3" t="str">
        <f>IFERROR(__xludf.DUMMYFUNCTION("""COMPUTED_VALUE"""),"01873019705")</f>
        <v>01873019705</v>
      </c>
      <c r="E260" s="3" t="str">
        <f>IFERROR(__xludf.DUMMYFUNCTION("""COMPUTED_VALUE"""),"L")</f>
        <v>L</v>
      </c>
      <c r="F260" s="3">
        <v>759.0</v>
      </c>
    </row>
    <row r="261">
      <c r="A261" s="3" t="str">
        <f>IFERROR(__xludf.DUMMYFUNCTION("""COMPUTED_VALUE"""),"DGN6N5IHMQ")</f>
        <v>DGN6N5IHMQ</v>
      </c>
      <c r="B261" s="3" t="str">
        <f>IFERROR(__xludf.DUMMYFUNCTION("""COMPUTED_VALUE"""),"Samia Nadia")</f>
        <v>Samia Nadia</v>
      </c>
      <c r="C261" s="3" t="str">
        <f>IFERROR(__xludf.DUMMYFUNCTION("""COMPUTED_VALUE"""),"samianadia710@gmail.com")</f>
        <v>samianadia710@gmail.com</v>
      </c>
      <c r="D261" s="3" t="str">
        <f>IFERROR(__xludf.DUMMYFUNCTION("""COMPUTED_VALUE"""),"01746-649561")</f>
        <v>01746-649561</v>
      </c>
      <c r="E261" s="3" t="str">
        <f>IFERROR(__xludf.DUMMYFUNCTION("""COMPUTED_VALUE"""),"XL")</f>
        <v>XL</v>
      </c>
      <c r="F261" s="3">
        <v>760.0</v>
      </c>
    </row>
    <row r="262">
      <c r="A262" s="3" t="str">
        <f>IFERROR(__xludf.DUMMYFUNCTION("""COMPUTED_VALUE"""),"DGN8N73R2G")</f>
        <v>DGN8N73R2G</v>
      </c>
      <c r="B262" s="3" t="str">
        <f>IFERROR(__xludf.DUMMYFUNCTION("""COMPUTED_VALUE"""),"Sheikh Faisal Mahmud ")</f>
        <v>Sheikh Faisal Mahmud </v>
      </c>
      <c r="C262" s="3" t="str">
        <f>IFERROR(__xludf.DUMMYFUNCTION("""COMPUTED_VALUE"""),"faisalmahmudnabil21@gmail.com")</f>
        <v>faisalmahmudnabil21@gmail.com</v>
      </c>
      <c r="D262" s="3" t="str">
        <f>IFERROR(__xludf.DUMMYFUNCTION("""COMPUTED_VALUE"""),"01871985471")</f>
        <v>01871985471</v>
      </c>
      <c r="E262" s="3" t="str">
        <f>IFERROR(__xludf.DUMMYFUNCTION("""COMPUTED_VALUE"""),"XL")</f>
        <v>XL</v>
      </c>
      <c r="F262" s="3">
        <v>761.0</v>
      </c>
    </row>
    <row r="263">
      <c r="A263" s="3" t="str">
        <f>IFERROR(__xludf.DUMMYFUNCTION("""COMPUTED_VALUE"""),"DGN5N7ZJP1")</f>
        <v>DGN5N7ZJP1</v>
      </c>
      <c r="B263" s="3" t="str">
        <f>IFERROR(__xludf.DUMMYFUNCTION("""COMPUTED_VALUE"""),"Joyanta Tripura")</f>
        <v>Joyanta Tripura</v>
      </c>
      <c r="C263" s="3" t="str">
        <f>IFERROR(__xludf.DUMMYFUNCTION("""COMPUTED_VALUE"""),"joyantatripura98@gmail.com")</f>
        <v>joyantatripura98@gmail.com</v>
      </c>
      <c r="D263" s="3" t="str">
        <f>IFERROR(__xludf.DUMMYFUNCTION("""COMPUTED_VALUE"""),"01631625787")</f>
        <v>01631625787</v>
      </c>
      <c r="E263" s="3" t="str">
        <f>IFERROR(__xludf.DUMMYFUNCTION("""COMPUTED_VALUE"""),"L")</f>
        <v>L</v>
      </c>
      <c r="F263" s="3">
        <v>762.0</v>
      </c>
    </row>
    <row r="264">
      <c r="A264" s="3" t="str">
        <f>IFERROR(__xludf.DUMMYFUNCTION("""COMPUTED_VALUE"""),"DGN3N7WVRN")</f>
        <v>DGN3N7WVRN</v>
      </c>
      <c r="B264" s="3" t="str">
        <f>IFERROR(__xludf.DUMMYFUNCTION("""COMPUTED_VALUE"""),"Md. Minhaz Maruf")</f>
        <v>Md. Minhaz Maruf</v>
      </c>
      <c r="C264" s="3" t="str">
        <f>IFERROR(__xludf.DUMMYFUNCTION("""COMPUTED_VALUE"""),"mdminhazmaruf22@gmail.com")</f>
        <v>mdminhazmaruf22@gmail.com</v>
      </c>
      <c r="D264" s="3" t="str">
        <f>IFERROR(__xludf.DUMMYFUNCTION("""COMPUTED_VALUE"""),"01740100390")</f>
        <v>01740100390</v>
      </c>
      <c r="E264" s="3" t="str">
        <f>IFERROR(__xludf.DUMMYFUNCTION("""COMPUTED_VALUE"""),"M")</f>
        <v>M</v>
      </c>
      <c r="F264" s="3">
        <v>763.0</v>
      </c>
    </row>
    <row r="265">
      <c r="A265" s="3" t="str">
        <f>IFERROR(__xludf.DUMMYFUNCTION("""COMPUTED_VALUE"""),"DGN9N9AIO5")</f>
        <v>DGN9N9AIO5</v>
      </c>
      <c r="B265" s="3" t="str">
        <f>IFERROR(__xludf.DUMMYFUNCTION("""COMPUTED_VALUE"""),"PROTTOY")</f>
        <v>PROTTOY</v>
      </c>
      <c r="C265" s="3" t="str">
        <f>IFERROR(__xludf.DUMMYFUNCTION("""COMPUTED_VALUE"""),"prottoyprottoy480@gmail.com")</f>
        <v>prottoyprottoy480@gmail.com</v>
      </c>
      <c r="D265" s="3" t="str">
        <f>IFERROR(__xludf.DUMMYFUNCTION("""COMPUTED_VALUE"""),"01746694427")</f>
        <v>01746694427</v>
      </c>
      <c r="E265" s="3" t="str">
        <f>IFERROR(__xludf.DUMMYFUNCTION("""COMPUTED_VALUE"""),"L")</f>
        <v>L</v>
      </c>
      <c r="F265" s="3">
        <v>764.0</v>
      </c>
    </row>
    <row r="266">
      <c r="A266" s="3" t="str">
        <f>IFERROR(__xludf.DUMMYFUNCTION("""COMPUTED_VALUE"""),"DGN3NCX6IL")</f>
        <v>DGN3NCX6IL</v>
      </c>
      <c r="B266" s="3" t="str">
        <f>IFERROR(__xludf.DUMMYFUNCTION("""COMPUTED_VALUE"""),"Kona Das")</f>
        <v>Kona Das</v>
      </c>
      <c r="C266" s="3" t="str">
        <f>IFERROR(__xludf.DUMMYFUNCTION("""COMPUTED_VALUE"""),"kdkona10@gmail.com")</f>
        <v>kdkona10@gmail.com</v>
      </c>
      <c r="D266" s="3" t="str">
        <f>IFERROR(__xludf.DUMMYFUNCTION("""COMPUTED_VALUE"""),"01330577852")</f>
        <v>01330577852</v>
      </c>
      <c r="E266" s="3" t="str">
        <f>IFERROR(__xludf.DUMMYFUNCTION("""COMPUTED_VALUE"""),"XL")</f>
        <v>XL</v>
      </c>
      <c r="F266" s="3">
        <v>765.0</v>
      </c>
    </row>
    <row r="267">
      <c r="A267" s="3" t="str">
        <f>IFERROR(__xludf.DUMMYFUNCTION("""COMPUTED_VALUE"""),"DGN6NGGN8K")</f>
        <v>DGN6NGGN8K</v>
      </c>
      <c r="B267" s="3" t="str">
        <f>IFERROR(__xludf.DUMMYFUNCTION("""COMPUTED_VALUE"""),"Nishat Islam")</f>
        <v>Nishat Islam</v>
      </c>
      <c r="C267" s="3" t="str">
        <f>IFERROR(__xludf.DUMMYFUNCTION("""COMPUTED_VALUE"""),"ni5025573@gmail.com")</f>
        <v>ni5025573@gmail.com</v>
      </c>
      <c r="D267" s="3" t="str">
        <f>IFERROR(__xludf.DUMMYFUNCTION("""COMPUTED_VALUE"""),"01312660098")</f>
        <v>01312660098</v>
      </c>
      <c r="E267" s="3" t="str">
        <f>IFERROR(__xludf.DUMMYFUNCTION("""COMPUTED_VALUE"""),"L (42/28)")</f>
        <v>L (42/28)</v>
      </c>
      <c r="F267" s="3">
        <v>766.0</v>
      </c>
    </row>
    <row r="268">
      <c r="A268" s="3" t="str">
        <f>IFERROR(__xludf.DUMMYFUNCTION("""COMPUTED_VALUE"""),"DGN2NHMPJ6")</f>
        <v>DGN2NHMPJ6</v>
      </c>
      <c r="B268" s="3" t="str">
        <f>IFERROR(__xludf.DUMMYFUNCTION("""COMPUTED_VALUE"""),"Tasnia Hossain Druti ")</f>
        <v>Tasnia Hossain Druti </v>
      </c>
      <c r="C268" s="3" t="str">
        <f>IFERROR(__xludf.DUMMYFUNCTION("""COMPUTED_VALUE"""),"tasnia.druti@gmail.com")</f>
        <v>tasnia.druti@gmail.com</v>
      </c>
      <c r="D268" s="3" t="str">
        <f>IFERROR(__xludf.DUMMYFUNCTION("""COMPUTED_VALUE"""),"01845822818")</f>
        <v>01845822818</v>
      </c>
      <c r="E268" s="3" t="str">
        <f>IFERROR(__xludf.DUMMYFUNCTION("""COMPUTED_VALUE"""),"2xl")</f>
        <v>2xl</v>
      </c>
      <c r="F268" s="3">
        <v>767.0</v>
      </c>
    </row>
    <row r="269">
      <c r="A269" s="3" t="str">
        <f>IFERROR(__xludf.DUMMYFUNCTION("""COMPUTED_VALUE"""),"DGN7NNASEJ")</f>
        <v>DGN7NNASEJ</v>
      </c>
      <c r="B269" s="3" t="str">
        <f>IFERROR(__xludf.DUMMYFUNCTION("""COMPUTED_VALUE"""),"Sabikun Nahar")</f>
        <v>Sabikun Nahar</v>
      </c>
      <c r="C269" s="3" t="str">
        <f>IFERROR(__xludf.DUMMYFUNCTION("""COMPUTED_VALUE"""),"sabikunnahar1002@gmail.com")</f>
        <v>sabikunnahar1002@gmail.com</v>
      </c>
      <c r="D269" s="3" t="str">
        <f>IFERROR(__xludf.DUMMYFUNCTION("""COMPUTED_VALUE"""),"01703691882")</f>
        <v>01703691882</v>
      </c>
      <c r="E269" s="3" t="str">
        <f>IFERROR(__xludf.DUMMYFUNCTION("""COMPUTED_VALUE"""),"M")</f>
        <v>M</v>
      </c>
      <c r="F269" s="3">
        <v>768.0</v>
      </c>
    </row>
    <row r="270">
      <c r="A270" s="3" t="str">
        <f>IFERROR(__xludf.DUMMYFUNCTION("""COMPUTED_VALUE"""),"reference number: S59551702(Bank Acc no: 107735040001)")</f>
        <v>reference number: S59551702(Bank Acc no: 107735040001)</v>
      </c>
      <c r="B270" s="3" t="str">
        <f>IFERROR(__xludf.DUMMYFUNCTION("""COMPUTED_VALUE"""),"Jannatul Fardousee Hridy")</f>
        <v>Jannatul Fardousee Hridy</v>
      </c>
      <c r="C270" s="3" t="str">
        <f>IFERROR(__xludf.DUMMYFUNCTION("""COMPUTED_VALUE"""),"jannatul.stu.ju@gmail.com")</f>
        <v>jannatul.stu.ju@gmail.com</v>
      </c>
      <c r="D270" s="3" t="str">
        <f>IFERROR(__xludf.DUMMYFUNCTION("""COMPUTED_VALUE"""),"01765681839")</f>
        <v>01765681839</v>
      </c>
      <c r="E270" s="3" t="str">
        <f>IFERROR(__xludf.DUMMYFUNCTION("""COMPUTED_VALUE"""),"XL")</f>
        <v>XL</v>
      </c>
      <c r="F270" s="3">
        <v>769.0</v>
      </c>
    </row>
    <row r="271">
      <c r="A271" s="3" t="str">
        <f>IFERROR(__xludf.DUMMYFUNCTION("""COMPUTED_VALUE"""),"DGN0NRMDS2")</f>
        <v>DGN0NRMDS2</v>
      </c>
      <c r="B271" s="3" t="str">
        <f>IFERROR(__xludf.DUMMYFUNCTION("""COMPUTED_VALUE"""),"Jarin Raima ")</f>
        <v>Jarin Raima </v>
      </c>
      <c r="C271" s="3" t="str">
        <f>IFERROR(__xludf.DUMMYFUNCTION("""COMPUTED_VALUE"""),"jarinraima8@gmail.com")</f>
        <v>jarinraima8@gmail.com</v>
      </c>
      <c r="D271" s="3" t="str">
        <f>IFERROR(__xludf.DUMMYFUNCTION("""COMPUTED_VALUE"""),"01941527477")</f>
        <v>01941527477</v>
      </c>
      <c r="E271" s="3" t="str">
        <f>IFERROR(__xludf.DUMMYFUNCTION("""COMPUTED_VALUE"""),"2xl")</f>
        <v>2xl</v>
      </c>
      <c r="F271" s="3">
        <v>770.0</v>
      </c>
    </row>
    <row r="272">
      <c r="A272" s="3" t="str">
        <f>IFERROR(__xludf.DUMMYFUNCTION("""COMPUTED_VALUE"""),"DGN6NRV8XY")</f>
        <v>DGN6NRV8XY</v>
      </c>
      <c r="B272" s="3" t="str">
        <f>IFERROR(__xludf.DUMMYFUNCTION("""COMPUTED_VALUE"""),"Razzak Mazumder ")</f>
        <v>Razzak Mazumder </v>
      </c>
      <c r="C272" s="3" t="str">
        <f>IFERROR(__xludf.DUMMYFUNCTION("""COMPUTED_VALUE"""),"rajujms42@gmail.com")</f>
        <v>rajujms42@gmail.com</v>
      </c>
      <c r="D272" s="3" t="str">
        <f>IFERROR(__xludf.DUMMYFUNCTION("""COMPUTED_VALUE"""),"01623506447")</f>
        <v>01623506447</v>
      </c>
      <c r="E272" s="3" t="str">
        <f>IFERROR(__xludf.DUMMYFUNCTION("""COMPUTED_VALUE"""),"Xl 44 29")</f>
        <v>Xl 44 29</v>
      </c>
      <c r="F272" s="3">
        <v>771.0</v>
      </c>
    </row>
    <row r="273">
      <c r="A273" s="3" t="str">
        <f>IFERROR(__xludf.DUMMYFUNCTION("""COMPUTED_VALUE"""),"DGN2NTA3K2")</f>
        <v>DGN2NTA3K2</v>
      </c>
      <c r="B273" s="3" t="str">
        <f>IFERROR(__xludf.DUMMYFUNCTION("""COMPUTED_VALUE"""),"M S Ahammed ")</f>
        <v>M S Ahammed </v>
      </c>
      <c r="C273" s="3" t="str">
        <f>IFERROR(__xludf.DUMMYFUNCTION("""COMPUTED_VALUE"""),"osamasabbir786@gmail.com")</f>
        <v>osamasabbir786@gmail.com</v>
      </c>
      <c r="D273" s="3" t="str">
        <f>IFERROR(__xludf.DUMMYFUNCTION("""COMPUTED_VALUE"""),"01560030587")</f>
        <v>01560030587</v>
      </c>
      <c r="E273" s="3" t="str">
        <f>IFERROR(__xludf.DUMMYFUNCTION("""COMPUTED_VALUE"""),"2xl")</f>
        <v>2xl</v>
      </c>
      <c r="F273" s="3">
        <v>772.0</v>
      </c>
    </row>
    <row r="274">
      <c r="A274" s="3" t="str">
        <f>IFERROR(__xludf.DUMMYFUNCTION("""COMPUTED_VALUE"""),"DGO3NVA3WJ")</f>
        <v>DGO3NVA3WJ</v>
      </c>
      <c r="B274" s="3" t="str">
        <f>IFERROR(__xludf.DUMMYFUNCTION("""COMPUTED_VALUE"""),"MD. ROKUNUZZAMAN ")</f>
        <v>MD. ROKUNUZZAMAN </v>
      </c>
      <c r="C274" s="3" t="str">
        <f>IFERROR(__xludf.DUMMYFUNCTION("""COMPUTED_VALUE"""),"razukhan43ju@gmail.com")</f>
        <v>razukhan43ju@gmail.com</v>
      </c>
      <c r="D274" s="3" t="str">
        <f>IFERROR(__xludf.DUMMYFUNCTION("""COMPUTED_VALUE"""),"01763104215")</f>
        <v>01763104215</v>
      </c>
      <c r="E274" s="3" t="str">
        <f>IFERROR(__xludf.DUMMYFUNCTION("""COMPUTED_VALUE"""),"XL")</f>
        <v>XL</v>
      </c>
      <c r="F274" s="3">
        <v>773.0</v>
      </c>
    </row>
    <row r="275">
      <c r="A275" s="3" t="str">
        <f>IFERROR(__xludf.DUMMYFUNCTION("""COMPUTED_VALUE"""),"DGO8NVQESQ")</f>
        <v>DGO8NVQESQ</v>
      </c>
      <c r="B275" s="3" t="str">
        <f>IFERROR(__xludf.DUMMYFUNCTION("""COMPUTED_VALUE"""),"Ahnaf Intisar Alif")</f>
        <v>Ahnaf Intisar Alif</v>
      </c>
      <c r="C275" s="3" t="str">
        <f>IFERROR(__xludf.DUMMYFUNCTION("""COMPUTED_VALUE"""),"intisaralif0019@gmail.com")</f>
        <v>intisaralif0019@gmail.com</v>
      </c>
      <c r="D275" s="3" t="str">
        <f>IFERROR(__xludf.DUMMYFUNCTION("""COMPUTED_VALUE"""),"01312297430")</f>
        <v>01312297430</v>
      </c>
      <c r="E275" s="3" t="str">
        <f>IFERROR(__xludf.DUMMYFUNCTION("""COMPUTED_VALUE"""),"M")</f>
        <v>M</v>
      </c>
      <c r="F275" s="3">
        <v>774.0</v>
      </c>
    </row>
    <row r="276">
      <c r="A276" s="3" t="str">
        <f>IFERROR(__xludf.DUMMYFUNCTION("""COMPUTED_VALUE"""),"DGO7NVSPKZ")</f>
        <v>DGO7NVSPKZ</v>
      </c>
      <c r="B276" s="3" t="str">
        <f>IFERROR(__xludf.DUMMYFUNCTION("""COMPUTED_VALUE"""),"Nishat Mobashwera Khan")</f>
        <v>Nishat Mobashwera Khan</v>
      </c>
      <c r="C276" s="3" t="str">
        <f>IFERROR(__xludf.DUMMYFUNCTION("""COMPUTED_VALUE"""),"nishatkhan.ju@gmail.com")</f>
        <v>nishatkhan.ju@gmail.com</v>
      </c>
      <c r="D276" s="3" t="str">
        <f>IFERROR(__xludf.DUMMYFUNCTION("""COMPUTED_VALUE"""),"01674328150")</f>
        <v>01674328150</v>
      </c>
      <c r="E276" s="3" t="str">
        <f>IFERROR(__xludf.DUMMYFUNCTION("""COMPUTED_VALUE"""),"M")</f>
        <v>M</v>
      </c>
      <c r="F276" s="3">
        <v>775.0</v>
      </c>
    </row>
    <row r="277">
      <c r="A277" s="3" t="str">
        <f>IFERROR(__xludf.DUMMYFUNCTION("""COMPUTED_VALUE"""),"DDS7LALSYD")</f>
        <v>DDS7LALSYD</v>
      </c>
      <c r="B277" s="3" t="str">
        <f>IFERROR(__xludf.DUMMYFUNCTION("""COMPUTED_VALUE"""),"Md. Habibur Rahman")</f>
        <v>Md. Habibur Rahman</v>
      </c>
      <c r="C277" s="3" t="str">
        <f>IFERROR(__xludf.DUMMYFUNCTION("""COMPUTED_VALUE"""),"juhabib50@gmail.com")</f>
        <v>juhabib50@gmail.com</v>
      </c>
      <c r="D277" s="3" t="str">
        <f>IFERROR(__xludf.DUMMYFUNCTION("""COMPUTED_VALUE"""),"01303420898")</f>
        <v>01303420898</v>
      </c>
      <c r="E277" s="3" t="str">
        <f>IFERROR(__xludf.DUMMYFUNCTION("""COMPUTED_VALUE"""),"L")</f>
        <v>L</v>
      </c>
      <c r="F277" s="3">
        <v>776.0</v>
      </c>
    </row>
    <row r="278">
      <c r="A278" s="3" t="str">
        <f>IFERROR(__xludf.DUMMYFUNCTION("""COMPUTED_VALUE"""),"DGO7NVXOVF")</f>
        <v>DGO7NVXOVF</v>
      </c>
      <c r="B278" s="3" t="str">
        <f>IFERROR(__xludf.DUMMYFUNCTION("""COMPUTED_VALUE"""),"Zunaid Mahi")</f>
        <v>Zunaid Mahi</v>
      </c>
      <c r="C278" s="3" t="str">
        <f>IFERROR(__xludf.DUMMYFUNCTION("""COMPUTED_VALUE"""),"mahizunaid924@gmail.com")</f>
        <v>mahizunaid924@gmail.com</v>
      </c>
      <c r="D278" s="3" t="str">
        <f>IFERROR(__xludf.DUMMYFUNCTION("""COMPUTED_VALUE"""),"01703255266")</f>
        <v>01703255266</v>
      </c>
      <c r="E278" s="3" t="str">
        <f>IFERROR(__xludf.DUMMYFUNCTION("""COMPUTED_VALUE"""),"L")</f>
        <v>L</v>
      </c>
      <c r="F278" s="3">
        <v>777.0</v>
      </c>
    </row>
    <row r="279">
      <c r="A279" s="3" t="str">
        <f>IFERROR(__xludf.DUMMYFUNCTION("""COMPUTED_VALUE"""),"DGO7NW2FKZ")</f>
        <v>DGO7NW2FKZ</v>
      </c>
      <c r="B279" s="3" t="str">
        <f>IFERROR(__xludf.DUMMYFUNCTION("""COMPUTED_VALUE"""),"Md. Iftekhar Hossain Nafin ")</f>
        <v>Md. Iftekhar Hossain Nafin </v>
      </c>
      <c r="C279" s="3" t="str">
        <f>IFERROR(__xludf.DUMMYFUNCTION("""COMPUTED_VALUE"""),"iftekharh0ssain12354@gmail.com")</f>
        <v>iftekharh0ssain12354@gmail.com</v>
      </c>
      <c r="D279" s="3" t="str">
        <f>IFERROR(__xludf.DUMMYFUNCTION("""COMPUTED_VALUE"""),"01776915156")</f>
        <v>01776915156</v>
      </c>
      <c r="E279" s="3" t="str">
        <f>IFERROR(__xludf.DUMMYFUNCTION("""COMPUTED_VALUE"""),"L")</f>
        <v>L</v>
      </c>
      <c r="F279" s="3">
        <v>778.0</v>
      </c>
    </row>
    <row r="280">
      <c r="A280" s="3" t="str">
        <f>IFERROR(__xludf.DUMMYFUNCTION("""COMPUTED_VALUE"""),"DGO1NW2POZ")</f>
        <v>DGO1NW2POZ</v>
      </c>
      <c r="B280" s="3" t="str">
        <f>IFERROR(__xludf.DUMMYFUNCTION("""COMPUTED_VALUE"""),"Minhazul Hasan Abir ")</f>
        <v>Minhazul Hasan Abir </v>
      </c>
      <c r="C280" s="3" t="str">
        <f>IFERROR(__xludf.DUMMYFUNCTION("""COMPUTED_VALUE"""),"minhazulhasan76@gmail.com")</f>
        <v>minhazulhasan76@gmail.com</v>
      </c>
      <c r="D280" s="3" t="str">
        <f>IFERROR(__xludf.DUMMYFUNCTION("""COMPUTED_VALUE"""),"01518961445")</f>
        <v>01518961445</v>
      </c>
      <c r="E280" s="3" t="str">
        <f>IFERROR(__xludf.DUMMYFUNCTION("""COMPUTED_VALUE"""),"L")</f>
        <v>L</v>
      </c>
      <c r="F280" s="3">
        <v>779.0</v>
      </c>
    </row>
    <row r="281">
      <c r="A281" s="3" t="str">
        <f>IFERROR(__xludf.DUMMYFUNCTION("""COMPUTED_VALUE"""),"DGO1NW5C8V")</f>
        <v>DGO1NW5C8V</v>
      </c>
      <c r="B281" s="3" t="str">
        <f>IFERROR(__xludf.DUMMYFUNCTION("""COMPUTED_VALUE"""),"Ridwana Islam ")</f>
        <v>Ridwana Islam </v>
      </c>
      <c r="C281" s="3" t="str">
        <f>IFERROR(__xludf.DUMMYFUNCTION("""COMPUTED_VALUE"""),"ridwanaju@gmail.com")</f>
        <v>ridwanaju@gmail.com</v>
      </c>
      <c r="D281" s="3" t="str">
        <f>IFERROR(__xludf.DUMMYFUNCTION("""COMPUTED_VALUE"""),"01791334993")</f>
        <v>01791334993</v>
      </c>
      <c r="E281" s="3" t="str">
        <f>IFERROR(__xludf.DUMMYFUNCTION("""COMPUTED_VALUE"""),"L")</f>
        <v>L</v>
      </c>
      <c r="F281" s="3">
        <v>780.0</v>
      </c>
    </row>
    <row r="282">
      <c r="A282" s="3" t="str">
        <f>IFERROR(__xludf.DUMMYFUNCTION("""COMPUTED_VALUE"""),"DGO6NW9AIO")</f>
        <v>DGO6NW9AIO</v>
      </c>
      <c r="B282" s="3" t="str">
        <f>IFERROR(__xludf.DUMMYFUNCTION("""COMPUTED_VALUE"""),"Mahfujul Haque")</f>
        <v>Mahfujul Haque</v>
      </c>
      <c r="C282" s="3" t="str">
        <f>IFERROR(__xludf.DUMMYFUNCTION("""COMPUTED_VALUE"""),"contact.mahfujul@gmail.com")</f>
        <v>contact.mahfujul@gmail.com</v>
      </c>
      <c r="D282" s="3" t="str">
        <f>IFERROR(__xludf.DUMMYFUNCTION("""COMPUTED_VALUE"""),"01518986029")</f>
        <v>01518986029</v>
      </c>
      <c r="E282" s="3" t="str">
        <f>IFERROR(__xludf.DUMMYFUNCTION("""COMPUTED_VALUE"""),"M")</f>
        <v>M</v>
      </c>
      <c r="F282" s="3">
        <v>781.0</v>
      </c>
    </row>
    <row r="283">
      <c r="A283" s="3" t="str">
        <f>IFERROR(__xludf.DUMMYFUNCTION("""COMPUTED_VALUE"""),"পরে")</f>
        <v>পরে</v>
      </c>
      <c r="B283" s="3" t="str">
        <f>IFERROR(__xludf.DUMMYFUNCTION("""COMPUTED_VALUE"""),"saidul Islam ")</f>
        <v>saidul Islam </v>
      </c>
      <c r="C283" s="3" t="str">
        <f>IFERROR(__xludf.DUMMYFUNCTION("""COMPUTED_VALUE"""),"si915130@gmail.com")</f>
        <v>si915130@gmail.com</v>
      </c>
      <c r="D283" s="3" t="str">
        <f>IFERROR(__xludf.DUMMYFUNCTION("""COMPUTED_VALUE"""),"01893366140")</f>
        <v>01893366140</v>
      </c>
      <c r="E283" s="3" t="str">
        <f>IFERROR(__xludf.DUMMYFUNCTION("""COMPUTED_VALUE"""),"L")</f>
        <v>L</v>
      </c>
      <c r="F283" s="3">
        <v>782.0</v>
      </c>
    </row>
    <row r="284">
      <c r="A284" s="3" t="str">
        <f>IFERROR(__xludf.DUMMYFUNCTION("""COMPUTED_VALUE"""),"Transaction id : DGO8NXM8UC")</f>
        <v>Transaction id : DGO8NXM8UC</v>
      </c>
      <c r="B284" s="3" t="str">
        <f>IFERROR(__xludf.DUMMYFUNCTION("""COMPUTED_VALUE"""),"Ikramul Hasan Sifat")</f>
        <v>Ikramul Hasan Sifat</v>
      </c>
      <c r="C284" s="3" t="str">
        <f>IFERROR(__xludf.DUMMYFUNCTION("""COMPUTED_VALUE"""),"ikramulhasansifat439@gmail.com")</f>
        <v>ikramulhasansifat439@gmail.com</v>
      </c>
      <c r="D284" s="3" t="str">
        <f>IFERROR(__xludf.DUMMYFUNCTION("""COMPUTED_VALUE"""),"01303470201")</f>
        <v>01303470201</v>
      </c>
      <c r="E284" s="3" t="str">
        <f>IFERROR(__xludf.DUMMYFUNCTION("""COMPUTED_VALUE"""),"M")</f>
        <v>M</v>
      </c>
      <c r="F284" s="3">
        <v>783.0</v>
      </c>
    </row>
    <row r="285">
      <c r="A285" s="3" t="str">
        <f>IFERROR(__xludf.DUMMYFUNCTION("""COMPUTED_VALUE"""),"DGO5NXWWGT")</f>
        <v>DGO5NXWWGT</v>
      </c>
      <c r="B285" s="3" t="str">
        <f>IFERROR(__xludf.DUMMYFUNCTION("""COMPUTED_VALUE"""),"Mahbub ")</f>
        <v>Mahbub </v>
      </c>
      <c r="C285" s="3" t="str">
        <f>IFERROR(__xludf.DUMMYFUNCTION("""COMPUTED_VALUE"""),"mmmahbubju52@gmail.com")</f>
        <v>mmmahbubju52@gmail.com</v>
      </c>
      <c r="D285" s="3" t="str">
        <f>IFERROR(__xludf.DUMMYFUNCTION("""COMPUTED_VALUE"""),"01819063048/01581014003")</f>
        <v>01819063048/01581014003</v>
      </c>
      <c r="E285" s="3" t="str">
        <f>IFERROR(__xludf.DUMMYFUNCTION("""COMPUTED_VALUE"""),"XL")</f>
        <v>XL</v>
      </c>
      <c r="F285" s="3">
        <v>784.0</v>
      </c>
    </row>
    <row r="286">
      <c r="A286" s="3" t="str">
        <f>IFERROR(__xludf.DUMMYFUNCTION("""COMPUTED_VALUE"""),"DGO3NXXFQD")</f>
        <v>DGO3NXXFQD</v>
      </c>
      <c r="B286" s="3" t="str">
        <f>IFERROR(__xludf.DUMMYFUNCTION("""COMPUTED_VALUE"""),"Musaib Sheikh Sami")</f>
        <v>Musaib Sheikh Sami</v>
      </c>
      <c r="C286" s="3" t="str">
        <f>IFERROR(__xludf.DUMMYFUNCTION("""COMPUTED_VALUE"""),"musaibsheikh.2028@gmail.com")</f>
        <v>musaibsheikh.2028@gmail.com</v>
      </c>
      <c r="D286" s="3" t="str">
        <f>IFERROR(__xludf.DUMMYFUNCTION("""COMPUTED_VALUE"""),"01608871404")</f>
        <v>01608871404</v>
      </c>
      <c r="E286" s="3" t="str">
        <f>IFERROR(__xludf.DUMMYFUNCTION("""COMPUTED_VALUE"""),"L")</f>
        <v>L</v>
      </c>
      <c r="F286" s="3">
        <v>785.0</v>
      </c>
    </row>
    <row r="287">
      <c r="A287" s="3" t="str">
        <f>IFERROR(__xludf.DUMMYFUNCTION("""COMPUTED_VALUE"""),"DGO9NY1SUX")</f>
        <v>DGO9NY1SUX</v>
      </c>
      <c r="B287" s="3" t="str">
        <f>IFERROR(__xludf.DUMMYFUNCTION("""COMPUTED_VALUE"""),"Md Sourov Islam ")</f>
        <v>Md Sourov Islam </v>
      </c>
      <c r="C287" s="3" t="str">
        <f>IFERROR(__xludf.DUMMYFUNCTION("""COMPUTED_VALUE"""),"mdsourovislam292@gmail.com")</f>
        <v>mdsourovislam292@gmail.com</v>
      </c>
      <c r="D287" s="3" t="str">
        <f>IFERROR(__xludf.DUMMYFUNCTION("""COMPUTED_VALUE"""),"01999153211")</f>
        <v>01999153211</v>
      </c>
      <c r="E287" s="3" t="str">
        <f>IFERROR(__xludf.DUMMYFUNCTION("""COMPUTED_VALUE"""),"L ")</f>
        <v>L </v>
      </c>
      <c r="F287" s="3">
        <v>786.0</v>
      </c>
    </row>
    <row r="288">
      <c r="A288" s="3" t="str">
        <f>IFERROR(__xludf.DUMMYFUNCTION("""COMPUTED_VALUE"""),"DGO3NY8YA9")</f>
        <v>DGO3NY8YA9</v>
      </c>
      <c r="B288" s="3" t="str">
        <f>IFERROR(__xludf.DUMMYFUNCTION("""COMPUTED_VALUE"""),"Srabon")</f>
        <v>Srabon</v>
      </c>
      <c r="C288" s="3" t="str">
        <f>IFERROR(__xludf.DUMMYFUNCTION("""COMPUTED_VALUE"""),"saj143aas@gmail.com")</f>
        <v>saj143aas@gmail.com</v>
      </c>
      <c r="D288" s="3" t="str">
        <f>IFERROR(__xludf.DUMMYFUNCTION("""COMPUTED_VALUE"""),"01626364688")</f>
        <v>01626364688</v>
      </c>
      <c r="E288" s="3" t="str">
        <f>IFERROR(__xludf.DUMMYFUNCTION("""COMPUTED_VALUE"""),"M")</f>
        <v>M</v>
      </c>
      <c r="F288" s="3">
        <v>787.0</v>
      </c>
    </row>
    <row r="289">
      <c r="A289" s="3" t="str">
        <f>IFERROR(__xludf.DUMMYFUNCTION("""COMPUTED_VALUE"""),"DGO0O1ARGC")</f>
        <v>DGO0O1ARGC</v>
      </c>
      <c r="B289" s="3" t="str">
        <f>IFERROR(__xludf.DUMMYFUNCTION("""COMPUTED_VALUE"""),"Khadijatul Lamiya  ")</f>
        <v>Khadijatul Lamiya  </v>
      </c>
      <c r="C289" s="3" t="str">
        <f>IFERROR(__xludf.DUMMYFUNCTION("""COMPUTED_VALUE"""),"khadijatul.lamiya2005@gmail.com")</f>
        <v>khadijatul.lamiya2005@gmail.com</v>
      </c>
      <c r="D289" s="3" t="str">
        <f>IFERROR(__xludf.DUMMYFUNCTION("""COMPUTED_VALUE"""),"01714319704")</f>
        <v>01714319704</v>
      </c>
      <c r="E289" s="3" t="str">
        <f>IFERROR(__xludf.DUMMYFUNCTION("""COMPUTED_VALUE"""),"S")</f>
        <v>S</v>
      </c>
      <c r="F289" s="3">
        <v>788.0</v>
      </c>
    </row>
    <row r="290">
      <c r="A290" s="3" t="str">
        <f>IFERROR(__xludf.DUMMYFUNCTION("""COMPUTED_VALUE"""),"Kiron")</f>
        <v>Kiron</v>
      </c>
      <c r="B290" s="3" t="str">
        <f>IFERROR(__xludf.DUMMYFUNCTION("""COMPUTED_VALUE"""),"Rusnat Ramisa")</f>
        <v>Rusnat Ramisa</v>
      </c>
      <c r="C290" s="3" t="str">
        <f>IFERROR(__xludf.DUMMYFUNCTION("""COMPUTED_VALUE"""),"srjramisa08@gmail.com")</f>
        <v>srjramisa08@gmail.com</v>
      </c>
      <c r="D290" s="3" t="str">
        <f>IFERROR(__xludf.DUMMYFUNCTION("""COMPUTED_VALUE"""),"01869330827")</f>
        <v>01869330827</v>
      </c>
      <c r="E290" s="3" t="str">
        <f>IFERROR(__xludf.DUMMYFUNCTION("""COMPUTED_VALUE"""),"L")</f>
        <v>L</v>
      </c>
      <c r="F290" s="3">
        <v>789.0</v>
      </c>
    </row>
    <row r="291">
      <c r="A291" s="3" t="str">
        <f>IFERROR(__xludf.DUMMYFUNCTION("""COMPUTED_VALUE"""),"DGO9O2XFQ9")</f>
        <v>DGO9O2XFQ9</v>
      </c>
      <c r="B291" s="3" t="str">
        <f>IFERROR(__xludf.DUMMYFUNCTION("""COMPUTED_VALUE"""),"Shahed Sajeeb ")</f>
        <v>Shahed Sajeeb </v>
      </c>
      <c r="C291" s="3" t="str">
        <f>IFERROR(__xludf.DUMMYFUNCTION("""COMPUTED_VALUE"""),"Sdsajeeb5@gmail.com")</f>
        <v>Sdsajeeb5@gmail.com</v>
      </c>
      <c r="D291" s="3" t="str">
        <f>IFERROR(__xludf.DUMMYFUNCTION("""COMPUTED_VALUE"""),"01786340503")</f>
        <v>01786340503</v>
      </c>
      <c r="E291" s="3" t="str">
        <f>IFERROR(__xludf.DUMMYFUNCTION("""COMPUTED_VALUE"""),"M")</f>
        <v>M</v>
      </c>
      <c r="F291" s="3">
        <v>790.0</v>
      </c>
    </row>
    <row r="292">
      <c r="A292" s="3" t="str">
        <f>IFERROR(__xludf.DUMMYFUNCTION("""COMPUTED_VALUE"""),"DGO6O3H9LC")</f>
        <v>DGO6O3H9LC</v>
      </c>
      <c r="B292" s="3" t="str">
        <f>IFERROR(__xludf.DUMMYFUNCTION("""COMPUTED_VALUE"""),"Md.Abdur Rahman Ullash")</f>
        <v>Md.Abdur Rahman Ullash</v>
      </c>
      <c r="C292" s="3" t="str">
        <f>IFERROR(__xludf.DUMMYFUNCTION("""COMPUTED_VALUE"""),"ullashmd777@gmail.com")</f>
        <v>ullashmd777@gmail.com</v>
      </c>
      <c r="D292" s="3" t="str">
        <f>IFERROR(__xludf.DUMMYFUNCTION("""COMPUTED_VALUE"""),"01938049662")</f>
        <v>01938049662</v>
      </c>
      <c r="E292" s="3" t="str">
        <f>IFERROR(__xludf.DUMMYFUNCTION("""COMPUTED_VALUE"""),"M")</f>
        <v>M</v>
      </c>
      <c r="F292" s="3">
        <v>791.0</v>
      </c>
    </row>
    <row r="293">
      <c r="A293" s="3" t="str">
        <f>IFERROR(__xludf.DUMMYFUNCTION("""COMPUTED_VALUE"""),"DG01048U2D")</f>
        <v>DG01048U2D</v>
      </c>
      <c r="B293" s="3" t="str">
        <f>IFERROR(__xludf.DUMMYFUNCTION("""COMPUTED_VALUE"""),"Rakibul Islam Rafi")</f>
        <v>Rakibul Islam Rafi</v>
      </c>
      <c r="C293" s="3" t="str">
        <f>IFERROR(__xludf.DUMMYFUNCTION("""COMPUTED_VALUE"""),"rakibjufnb@gmail.com")</f>
        <v>rakibjufnb@gmail.com</v>
      </c>
      <c r="D293" s="3" t="str">
        <f>IFERROR(__xludf.DUMMYFUNCTION("""COMPUTED_VALUE"""),"01752911310")</f>
        <v>01752911310</v>
      </c>
      <c r="E293" s="3" t="str">
        <f>IFERROR(__xludf.DUMMYFUNCTION("""COMPUTED_VALUE"""),"L")</f>
        <v>L</v>
      </c>
      <c r="F293" s="3">
        <v>792.0</v>
      </c>
    </row>
    <row r="294">
      <c r="A294" s="3" t="str">
        <f>IFERROR(__xludf.DUMMYFUNCTION("""COMPUTED_VALUE"""),"DGO8O4JNJO")</f>
        <v>DGO8O4JNJO</v>
      </c>
      <c r="B294" s="3" t="str">
        <f>IFERROR(__xludf.DUMMYFUNCTION("""COMPUTED_VALUE"""),"MD. Zakaria Mehrab ")</f>
        <v>MD. Zakaria Mehrab </v>
      </c>
      <c r="C294" s="3" t="str">
        <f>IFERROR(__xludf.DUMMYFUNCTION("""COMPUTED_VALUE"""),"zakaria23mehrab@gmail.com")</f>
        <v>zakaria23mehrab@gmail.com</v>
      </c>
      <c r="D294" s="3" t="str">
        <f>IFERROR(__xludf.DUMMYFUNCTION("""COMPUTED_VALUE"""),"01718011290")</f>
        <v>01718011290</v>
      </c>
      <c r="E294" s="3" t="str">
        <f>IFERROR(__xludf.DUMMYFUNCTION("""COMPUTED_VALUE"""),"2XL")</f>
        <v>2XL</v>
      </c>
      <c r="F294" s="3">
        <v>793.0</v>
      </c>
    </row>
    <row r="295">
      <c r="A295" s="3" t="str">
        <f>IFERROR(__xludf.DUMMYFUNCTION("""COMPUTED_VALUE"""),"DGO6O4MZP6")</f>
        <v>DGO6O4MZP6</v>
      </c>
      <c r="B295" s="3" t="str">
        <f>IFERROR(__xludf.DUMMYFUNCTION("""COMPUTED_VALUE"""),"Tahiratul Sumaia ")</f>
        <v>Tahiratul Sumaia </v>
      </c>
      <c r="C295" s="3" t="str">
        <f>IFERROR(__xludf.DUMMYFUNCTION("""COMPUTED_VALUE"""),"tahiratul57@gmail.com")</f>
        <v>tahiratul57@gmail.com</v>
      </c>
      <c r="D295" s="3" t="str">
        <f>IFERROR(__xludf.DUMMYFUNCTION("""COMPUTED_VALUE"""),"01875960357")</f>
        <v>01875960357</v>
      </c>
      <c r="E295" s="3" t="str">
        <f>IFERROR(__xludf.DUMMYFUNCTION("""COMPUTED_VALUE"""),"XL")</f>
        <v>XL</v>
      </c>
      <c r="F295" s="3">
        <v>794.0</v>
      </c>
    </row>
    <row r="296">
      <c r="A296" s="3" t="str">
        <f>IFERROR(__xludf.DUMMYFUNCTION("""COMPUTED_VALUE"""),"DGO7O71RXF")</f>
        <v>DGO7O71RXF</v>
      </c>
      <c r="B296" s="3" t="str">
        <f>IFERROR(__xludf.DUMMYFUNCTION("""COMPUTED_VALUE"""),"Md Muzammel miaje")</f>
        <v>Md Muzammel miaje</v>
      </c>
      <c r="C296" s="3" t="str">
        <f>IFERROR(__xludf.DUMMYFUNCTION("""COMPUTED_VALUE"""),"muzammelmiajee@gmail.com")</f>
        <v>muzammelmiajee@gmail.com</v>
      </c>
      <c r="D296" s="3" t="str">
        <f>IFERROR(__xludf.DUMMYFUNCTION("""COMPUTED_VALUE"""),"01818286910")</f>
        <v>01818286910</v>
      </c>
      <c r="E296" s="3" t="str">
        <f>IFERROR(__xludf.DUMMYFUNCTION("""COMPUTED_VALUE"""),"M")</f>
        <v>M</v>
      </c>
      <c r="F296" s="3">
        <v>795.0</v>
      </c>
    </row>
    <row r="297">
      <c r="A297" s="3" t="str">
        <f>IFERROR(__xludf.DUMMYFUNCTION("""COMPUTED_VALUE"""),"DGO1O7151X")</f>
        <v>DGO1O7151X</v>
      </c>
      <c r="B297" s="3" t="str">
        <f>IFERROR(__xludf.DUMMYFUNCTION("""COMPUTED_VALUE"""),"Mst.Airin Nahar")</f>
        <v>Mst.Airin Nahar</v>
      </c>
      <c r="C297" s="3" t="str">
        <f>IFERROR(__xludf.DUMMYFUNCTION("""COMPUTED_VALUE"""),"airinanchol999@gmail.com")</f>
        <v>airinanchol999@gmail.com</v>
      </c>
      <c r="D297" s="3" t="str">
        <f>IFERROR(__xludf.DUMMYFUNCTION("""COMPUTED_VALUE"""),"01308589582")</f>
        <v>01308589582</v>
      </c>
      <c r="E297" s="3" t="str">
        <f>IFERROR(__xludf.DUMMYFUNCTION("""COMPUTED_VALUE"""),"L")</f>
        <v>L</v>
      </c>
      <c r="F297" s="3">
        <v>796.0</v>
      </c>
    </row>
    <row r="298">
      <c r="A298" s="3" t="str">
        <f>IFERROR(__xludf.DUMMYFUNCTION("""COMPUTED_VALUE"""),"DGO5O76SWD")</f>
        <v>DGO5O76SWD</v>
      </c>
      <c r="B298" s="3" t="str">
        <f>IFERROR(__xludf.DUMMYFUNCTION("""COMPUTED_VALUE"""),"Md. Shahadat Islam ")</f>
        <v>Md. Shahadat Islam </v>
      </c>
      <c r="C298" s="3" t="str">
        <f>IFERROR(__xludf.DUMMYFUNCTION("""COMPUTED_VALUE"""),"shahadatabhi.ju@gmail.com")</f>
        <v>shahadatabhi.ju@gmail.com</v>
      </c>
      <c r="D298" s="3" t="str">
        <f>IFERROR(__xludf.DUMMYFUNCTION("""COMPUTED_VALUE"""),"01791533335")</f>
        <v>01791533335</v>
      </c>
      <c r="E298" s="3" t="str">
        <f>IFERROR(__xludf.DUMMYFUNCTION("""COMPUTED_VALUE"""),"Xl")</f>
        <v>Xl</v>
      </c>
      <c r="F298" s="3">
        <v>797.0</v>
      </c>
    </row>
    <row r="299">
      <c r="A299" s="3" t="str">
        <f>IFERROR(__xludf.DUMMYFUNCTION("""COMPUTED_VALUE"""),"DGO3O8A0H9")</f>
        <v>DGO3O8A0H9</v>
      </c>
      <c r="B299" s="3" t="str">
        <f>IFERROR(__xludf.DUMMYFUNCTION("""COMPUTED_VALUE"""),"Mahodi")</f>
        <v>Mahodi</v>
      </c>
      <c r="C299" s="3" t="str">
        <f>IFERROR(__xludf.DUMMYFUNCTION("""COMPUTED_VALUE"""),"abdullahalmahodi@gmail.com")</f>
        <v>abdullahalmahodi@gmail.com</v>
      </c>
      <c r="D299" s="3" t="str">
        <f>IFERROR(__xludf.DUMMYFUNCTION("""COMPUTED_VALUE"""),"01887853447")</f>
        <v>01887853447</v>
      </c>
      <c r="E299" s="3" t="str">
        <f>IFERROR(__xludf.DUMMYFUNCTION("""COMPUTED_VALUE"""),"L")</f>
        <v>L</v>
      </c>
      <c r="F299" s="3">
        <v>798.0</v>
      </c>
    </row>
    <row r="300">
      <c r="A300" s="3" t="str">
        <f>IFERROR(__xludf.DUMMYFUNCTION("""COMPUTED_VALUE"""),"DGO3O8FRQ3")</f>
        <v>DGO3O8FRQ3</v>
      </c>
      <c r="B300" s="3" t="str">
        <f>IFERROR(__xludf.DUMMYFUNCTION("""COMPUTED_VALUE"""),"Mehedi Hasan ")</f>
        <v>Mehedi Hasan </v>
      </c>
      <c r="C300" s="3" t="str">
        <f>IFERROR(__xludf.DUMMYFUNCTION("""COMPUTED_VALUE"""),"mmh514755@gmail.com")</f>
        <v>mmh514755@gmail.com</v>
      </c>
      <c r="D300" s="3" t="str">
        <f>IFERROR(__xludf.DUMMYFUNCTION("""COMPUTED_VALUE"""),"01918045829")</f>
        <v>01918045829</v>
      </c>
      <c r="E300" s="3" t="str">
        <f>IFERROR(__xludf.DUMMYFUNCTION("""COMPUTED_VALUE"""),"XL")</f>
        <v>XL</v>
      </c>
      <c r="F300" s="3">
        <v>799.0</v>
      </c>
    </row>
    <row r="301">
      <c r="A301" s="3" t="str">
        <f>IFERROR(__xludf.DUMMYFUNCTION("""COMPUTED_VALUE"""),"DGO6O8RXX6")</f>
        <v>DGO6O8RXX6</v>
      </c>
      <c r="B301" s="3" t="str">
        <f>IFERROR(__xludf.DUMMYFUNCTION("""COMPUTED_VALUE"""),"Lima Khatun ")</f>
        <v>Lima Khatun </v>
      </c>
      <c r="C301" s="3" t="str">
        <f>IFERROR(__xludf.DUMMYFUNCTION("""COMPUTED_VALUE"""),"meemkhanom007@gmail.com")</f>
        <v>meemkhanom007@gmail.com</v>
      </c>
      <c r="D301" s="3" t="str">
        <f>IFERROR(__xludf.DUMMYFUNCTION("""COMPUTED_VALUE"""),"01789336747")</f>
        <v>01789336747</v>
      </c>
      <c r="E301" s="3" t="str">
        <f>IFERROR(__xludf.DUMMYFUNCTION("""COMPUTED_VALUE"""),"M")</f>
        <v>M</v>
      </c>
      <c r="F301" s="3">
        <v>800.0</v>
      </c>
    </row>
    <row r="302">
      <c r="A302" s="3" t="str">
        <f>IFERROR(__xludf.DUMMYFUNCTION("""COMPUTED_VALUE"""),"DGO2O8XVFQ")</f>
        <v>DGO2O8XVFQ</v>
      </c>
      <c r="B302" s="3" t="str">
        <f>IFERROR(__xludf.DUMMYFUNCTION("""COMPUTED_VALUE"""),"Rafi Islam ")</f>
        <v>Rafi Islam </v>
      </c>
      <c r="C302" s="3" t="str">
        <f>IFERROR(__xludf.DUMMYFUNCTION("""COMPUTED_VALUE"""),"26rafiislam@gmail.com")</f>
        <v>26rafiislam@gmail.com</v>
      </c>
      <c r="D302" s="3" t="str">
        <f>IFERROR(__xludf.DUMMYFUNCTION("""COMPUTED_VALUE"""),"01309647557")</f>
        <v>01309647557</v>
      </c>
      <c r="E302" s="3" t="str">
        <f>IFERROR(__xludf.DUMMYFUNCTION("""COMPUTED_VALUE"""),"Xl")</f>
        <v>Xl</v>
      </c>
      <c r="F302" s="3">
        <v>801.0</v>
      </c>
    </row>
    <row r="303">
      <c r="A303" s="3" t="str">
        <f>IFERROR(__xludf.DUMMYFUNCTION("""COMPUTED_VALUE"""),"DG0608XQ7S")</f>
        <v>DG0608XQ7S</v>
      </c>
      <c r="B303" s="3" t="str">
        <f>IFERROR(__xludf.DUMMYFUNCTION("""COMPUTED_VALUE"""),"Turjoy Acharja")</f>
        <v>Turjoy Acharja</v>
      </c>
      <c r="C303" s="3" t="str">
        <f>IFERROR(__xludf.DUMMYFUNCTION("""COMPUTED_VALUE"""),"turjoyacharja@gmail.com")</f>
        <v>turjoyacharja@gmail.com</v>
      </c>
      <c r="D303" s="3" t="str">
        <f>IFERROR(__xludf.DUMMYFUNCTION("""COMPUTED_VALUE"""),"01344385932")</f>
        <v>01344385932</v>
      </c>
      <c r="E303" s="3" t="str">
        <f>IFERROR(__xludf.DUMMYFUNCTION("""COMPUTED_VALUE"""),"2XL")</f>
        <v>2XL</v>
      </c>
      <c r="F303" s="3">
        <v>802.0</v>
      </c>
    </row>
    <row r="304">
      <c r="A304" s="3" t="str">
        <f>IFERROR(__xludf.DUMMYFUNCTION("""COMPUTED_VALUE"""),"DGO1O9PG3T")</f>
        <v>DGO1O9PG3T</v>
      </c>
      <c r="B304" s="3" t="str">
        <f>IFERROR(__xludf.DUMMYFUNCTION("""COMPUTED_VALUE"""),"RAKIB")</f>
        <v>RAKIB</v>
      </c>
      <c r="C304" s="3" t="str">
        <f>IFERROR(__xludf.DUMMYFUNCTION("""COMPUTED_VALUE"""),"mdrakib19902020@gmail.com")</f>
        <v>mdrakib19902020@gmail.com</v>
      </c>
      <c r="D304" s="3" t="str">
        <f>IFERROR(__xludf.DUMMYFUNCTION("""COMPUTED_VALUE"""),"01852662406")</f>
        <v>01852662406</v>
      </c>
      <c r="E304" s="3" t="str">
        <f>IFERROR(__xludf.DUMMYFUNCTION("""COMPUTED_VALUE"""),"L")</f>
        <v>L</v>
      </c>
      <c r="F304" s="3">
        <v>803.0</v>
      </c>
    </row>
    <row r="305">
      <c r="A305" s="3" t="str">
        <f>IFERROR(__xludf.DUMMYFUNCTION("""COMPUTED_VALUE"""),"DGO0OA6DO8")</f>
        <v>DGO0OA6DO8</v>
      </c>
      <c r="B305" s="3" t="str">
        <f>IFERROR(__xludf.DUMMYFUNCTION("""COMPUTED_VALUE"""),"Sabrina Khan")</f>
        <v>Sabrina Khan</v>
      </c>
      <c r="C305" s="3" t="str">
        <f>IFERROR(__xludf.DUMMYFUNCTION("""COMPUTED_VALUE"""),"sabrinakhan5001@gmail.com")</f>
        <v>sabrinakhan5001@gmail.com</v>
      </c>
      <c r="D305" s="3" t="str">
        <f>IFERROR(__xludf.DUMMYFUNCTION("""COMPUTED_VALUE"""),"01953335589")</f>
        <v>01953335589</v>
      </c>
      <c r="E305" s="3" t="str">
        <f>IFERROR(__xludf.DUMMYFUNCTION("""COMPUTED_VALUE"""),"L")</f>
        <v>L</v>
      </c>
      <c r="F305" s="3">
        <v>804.0</v>
      </c>
    </row>
    <row r="306">
      <c r="A306" s="3" t="str">
        <f>IFERROR(__xludf.DUMMYFUNCTION("""COMPUTED_VALUE"""),"DGO5OA7CP7")</f>
        <v>DGO5OA7CP7</v>
      </c>
      <c r="B306" s="3" t="str">
        <f>IFERROR(__xludf.DUMMYFUNCTION("""COMPUTED_VALUE"""),"Mehedi Hasan")</f>
        <v>Mehedi Hasan</v>
      </c>
      <c r="C306" s="3" t="str">
        <f>IFERROR(__xludf.DUMMYFUNCTION("""COMPUTED_VALUE"""),"mantenet15@gmail.com")</f>
        <v>mantenet15@gmail.com</v>
      </c>
      <c r="D306" s="3" t="str">
        <f>IFERROR(__xludf.DUMMYFUNCTION("""COMPUTED_VALUE"""),"01615244320")</f>
        <v>01615244320</v>
      </c>
      <c r="E306" s="3" t="str">
        <f>IFERROR(__xludf.DUMMYFUNCTION("""COMPUTED_VALUE"""),"L")</f>
        <v>L</v>
      </c>
      <c r="F306" s="3">
        <v>805.0</v>
      </c>
    </row>
    <row r="307">
      <c r="A307" s="3" t="str">
        <f>IFERROR(__xludf.DUMMYFUNCTION("""COMPUTED_VALUE"""),"DGO9OBQ607")</f>
        <v>DGO9OBQ607</v>
      </c>
      <c r="B307" s="3" t="str">
        <f>IFERROR(__xludf.DUMMYFUNCTION("""COMPUTED_VALUE"""),"Mahir Foysal ")</f>
        <v>Mahir Foysal </v>
      </c>
      <c r="C307" s="3" t="str">
        <f>IFERROR(__xludf.DUMMYFUNCTION("""COMPUTED_VALUE"""),"themahir000@gamil.com")</f>
        <v>themahir000@gamil.com</v>
      </c>
      <c r="D307" s="3" t="str">
        <f>IFERROR(__xludf.DUMMYFUNCTION("""COMPUTED_VALUE"""),"01946596733")</f>
        <v>01946596733</v>
      </c>
      <c r="E307" s="3" t="str">
        <f>IFERROR(__xludf.DUMMYFUNCTION("""COMPUTED_VALUE"""),"L")</f>
        <v>L</v>
      </c>
      <c r="F307" s="3">
        <v>806.0</v>
      </c>
    </row>
    <row r="308">
      <c r="A308" s="3" t="str">
        <f>IFERROR(__xludf.DUMMYFUNCTION("""COMPUTED_VALUE"""),"DGO2OBWPYQ")</f>
        <v>DGO2OBWPYQ</v>
      </c>
      <c r="B308" s="3" t="str">
        <f>IFERROR(__xludf.DUMMYFUNCTION("""COMPUTED_VALUE"""),"Tanjimul Islam Nafis")</f>
        <v>Tanjimul Islam Nafis</v>
      </c>
      <c r="C308" s="3" t="str">
        <f>IFERROR(__xludf.DUMMYFUNCTION("""COMPUTED_VALUE"""),"nafistnjm@gmail.com")</f>
        <v>nafistnjm@gmail.com</v>
      </c>
      <c r="D308" s="3" t="str">
        <f>IFERROR(__xludf.DUMMYFUNCTION("""COMPUTED_VALUE"""),"01868265540")</f>
        <v>01868265540</v>
      </c>
      <c r="E308" s="3" t="str">
        <f>IFERROR(__xludf.DUMMYFUNCTION("""COMPUTED_VALUE"""),"L")</f>
        <v>L</v>
      </c>
      <c r="F308" s="3">
        <v>807.0</v>
      </c>
    </row>
    <row r="309">
      <c r="A309" s="3" t="str">
        <f>IFERROR(__xludf.DUMMYFUNCTION("""COMPUTED_VALUE"""),"DGO1OCOTGL")</f>
        <v>DGO1OCOTGL</v>
      </c>
      <c r="B309" s="3" t="str">
        <f>IFERROR(__xludf.DUMMYFUNCTION("""COMPUTED_VALUE"""),"MOST. TASNIA SULTANA TONOYA ")</f>
        <v>MOST. TASNIA SULTANA TONOYA </v>
      </c>
      <c r="C309" s="3" t="str">
        <f>IFERROR(__xludf.DUMMYFUNCTION("""COMPUTED_VALUE"""),"tasnia20012007@gmail.com")</f>
        <v>tasnia20012007@gmail.com</v>
      </c>
      <c r="D309" s="3" t="str">
        <f>IFERROR(__xludf.DUMMYFUNCTION("""COMPUTED_VALUE"""),"01602479419")</f>
        <v>01602479419</v>
      </c>
      <c r="E309" s="3" t="str">
        <f>IFERROR(__xludf.DUMMYFUNCTION("""COMPUTED_VALUE"""),"2XL")</f>
        <v>2XL</v>
      </c>
      <c r="F309" s="3">
        <v>808.0</v>
      </c>
    </row>
    <row r="310">
      <c r="A310" s="3" t="str">
        <f>IFERROR(__xludf.DUMMYFUNCTION("""COMPUTED_VALUE"""),"DGO8OD3F2G")</f>
        <v>DGO8OD3F2G</v>
      </c>
      <c r="B310" s="3" t="str">
        <f>IFERROR(__xludf.DUMMYFUNCTION("""COMPUTED_VALUE"""),"Md Nishan Khan ")</f>
        <v>Md Nishan Khan </v>
      </c>
      <c r="C310" s="3" t="str">
        <f>IFERROR(__xludf.DUMMYFUNCTION("""COMPUTED_VALUE"""),"nishanjueng52@gmail.com")</f>
        <v>nishanjueng52@gmail.com</v>
      </c>
      <c r="D310" s="3" t="str">
        <f>IFERROR(__xludf.DUMMYFUNCTION("""COMPUTED_VALUE"""),"01885189447")</f>
        <v>01885189447</v>
      </c>
      <c r="E310" s="3" t="str">
        <f>IFERROR(__xludf.DUMMYFUNCTION("""COMPUTED_VALUE"""),"L")</f>
        <v>L</v>
      </c>
      <c r="F310" s="3">
        <v>809.0</v>
      </c>
    </row>
    <row r="311">
      <c r="A311" s="3" t="str">
        <f>IFERROR(__xludf.DUMMYFUNCTION("""COMPUTED_VALUE"""),"DGO8OEBCTI")</f>
        <v>DGO8OEBCTI</v>
      </c>
      <c r="B311" s="3" t="str">
        <f>IFERROR(__xludf.DUMMYFUNCTION("""COMPUTED_VALUE"""),"Shohag Ibn Rashid")</f>
        <v>Shohag Ibn Rashid</v>
      </c>
      <c r="C311" s="3" t="str">
        <f>IFERROR(__xludf.DUMMYFUNCTION("""COMPUTED_VALUE"""),"mri.shohag1205@gmail.com")</f>
        <v>mri.shohag1205@gmail.com</v>
      </c>
      <c r="D311" s="3" t="str">
        <f>IFERROR(__xludf.DUMMYFUNCTION("""COMPUTED_VALUE"""),"01601701478")</f>
        <v>01601701478</v>
      </c>
      <c r="E311" s="3" t="str">
        <f>IFERROR(__xludf.DUMMYFUNCTION("""COMPUTED_VALUE"""),"M")</f>
        <v>M</v>
      </c>
      <c r="F311" s="3">
        <v>810.0</v>
      </c>
    </row>
    <row r="312">
      <c r="A312" s="3" t="str">
        <f>IFERROR(__xludf.DUMMYFUNCTION("""COMPUTED_VALUE"""),"DGO3OF7Z9D")</f>
        <v>DGO3OF7Z9D</v>
      </c>
      <c r="B312" s="3" t="str">
        <f>IFERROR(__xludf.DUMMYFUNCTION("""COMPUTED_VALUE"""),"Setu")</f>
        <v>Setu</v>
      </c>
      <c r="C312" s="3" t="str">
        <f>IFERROR(__xludf.DUMMYFUNCTION("""COMPUTED_VALUE"""),"yeasminsetu0@gmail.com")</f>
        <v>yeasminsetu0@gmail.com</v>
      </c>
      <c r="D312" s="3" t="str">
        <f>IFERROR(__xludf.DUMMYFUNCTION("""COMPUTED_VALUE"""),"01615284604")</f>
        <v>01615284604</v>
      </c>
      <c r="E312" s="3" t="str">
        <f>IFERROR(__xludf.DUMMYFUNCTION("""COMPUTED_VALUE"""),"XL")</f>
        <v>XL</v>
      </c>
      <c r="F312" s="3">
        <v>811.0</v>
      </c>
    </row>
    <row r="313">
      <c r="A313" s="3" t="str">
        <f>IFERROR(__xludf.DUMMYFUNCTION("""COMPUTED_VALUE"""),"DGO3OHAFHF")</f>
        <v>DGO3OHAFHF</v>
      </c>
      <c r="B313" s="3" t="str">
        <f>IFERROR(__xludf.DUMMYFUNCTION("""COMPUTED_VALUE"""),"Tanisha Islam ")</f>
        <v>Tanisha Islam </v>
      </c>
      <c r="C313" s="3" t="str">
        <f>IFERROR(__xludf.DUMMYFUNCTION("""COMPUTED_VALUE"""),"itanisha926@gmail.com")</f>
        <v>itanisha926@gmail.com</v>
      </c>
      <c r="D313" s="3" t="str">
        <f>IFERROR(__xludf.DUMMYFUNCTION("""COMPUTED_VALUE"""),"01754284787")</f>
        <v>01754284787</v>
      </c>
      <c r="E313" s="3" t="str">
        <f>IFERROR(__xludf.DUMMYFUNCTION("""COMPUTED_VALUE"""),"L")</f>
        <v>L</v>
      </c>
      <c r="F313" s="3">
        <v>812.0</v>
      </c>
    </row>
    <row r="314">
      <c r="A314" s="3" t="str">
        <f>IFERROR(__xludf.DUMMYFUNCTION("""COMPUTED_VALUE"""),"DGO7OH98YZ")</f>
        <v>DGO7OH98YZ</v>
      </c>
      <c r="B314" s="3" t="str">
        <f>IFERROR(__xludf.DUMMYFUNCTION("""COMPUTED_VALUE"""),"Shouharda Roy Simel")</f>
        <v>Shouharda Roy Simel</v>
      </c>
      <c r="C314" s="3" t="str">
        <f>IFERROR(__xludf.DUMMYFUNCTION("""COMPUTED_VALUE"""),"shouhardaroy01@gmail.com")</f>
        <v>shouhardaroy01@gmail.com</v>
      </c>
      <c r="D314" s="3" t="str">
        <f>IFERROR(__xludf.DUMMYFUNCTION("""COMPUTED_VALUE"""),"01722417205")</f>
        <v>01722417205</v>
      </c>
      <c r="E314" s="3" t="str">
        <f>IFERROR(__xludf.DUMMYFUNCTION("""COMPUTED_VALUE"""),"L")</f>
        <v>L</v>
      </c>
      <c r="F314" s="3">
        <v>813.0</v>
      </c>
    </row>
    <row r="315">
      <c r="A315" s="3" t="str">
        <f>IFERROR(__xludf.DUMMYFUNCTION("""COMPUTED_VALUE"""),"DGO7OHO7Z5")</f>
        <v>DGO7OHO7Z5</v>
      </c>
      <c r="B315" s="3" t="str">
        <f>IFERROR(__xludf.DUMMYFUNCTION("""COMPUTED_VALUE"""),"Nafisa Rushd ")</f>
        <v>Nafisa Rushd </v>
      </c>
      <c r="C315" s="3" t="str">
        <f>IFERROR(__xludf.DUMMYFUNCTION("""COMPUTED_VALUE"""),"nafisarushd@gmail.com")</f>
        <v>nafisarushd@gmail.com</v>
      </c>
      <c r="D315" s="3" t="str">
        <f>IFERROR(__xludf.DUMMYFUNCTION("""COMPUTED_VALUE"""),"01622455783")</f>
        <v>01622455783</v>
      </c>
      <c r="E315" s="3" t="str">
        <f>IFERROR(__xludf.DUMMYFUNCTION("""COMPUTED_VALUE"""),"L ")</f>
        <v>L </v>
      </c>
      <c r="F315" s="3">
        <v>814.0</v>
      </c>
    </row>
    <row r="316">
      <c r="A316" s="3" t="str">
        <f>IFERROR(__xludf.DUMMYFUNCTION("""COMPUTED_VALUE"""),"DGO6OHXSIQ")</f>
        <v>DGO6OHXSIQ</v>
      </c>
      <c r="B316" s="3" t="str">
        <f>IFERROR(__xludf.DUMMYFUNCTION("""COMPUTED_VALUE"""),"Fahmida Jannat")</f>
        <v>Fahmida Jannat</v>
      </c>
      <c r="C316" s="3" t="str">
        <f>IFERROR(__xludf.DUMMYFUNCTION("""COMPUTED_VALUE"""),"fahmidajannat712@gmail.com")</f>
        <v>fahmidajannat712@gmail.com</v>
      </c>
      <c r="D316" s="3" t="str">
        <f>IFERROR(__xludf.DUMMYFUNCTION("""COMPUTED_VALUE"""),"01575823556")</f>
        <v>01575823556</v>
      </c>
      <c r="E316" s="3" t="str">
        <f>IFERROR(__xludf.DUMMYFUNCTION("""COMPUTED_VALUE"""),"L")</f>
        <v>L</v>
      </c>
      <c r="F316" s="3">
        <v>815.0</v>
      </c>
    </row>
    <row r="317">
      <c r="A317" s="3" t="str">
        <f>IFERROR(__xludf.DUMMYFUNCTION("""COMPUTED_VALUE"""),"DGO0OKGJUG")</f>
        <v>DGO0OKGJUG</v>
      </c>
      <c r="B317" s="3" t="str">
        <f>IFERROR(__xludf.DUMMYFUNCTION("""COMPUTED_VALUE"""),"Md Mamunur Reza")</f>
        <v>Md Mamunur Reza</v>
      </c>
      <c r="C317" s="3" t="str">
        <f>IFERROR(__xludf.DUMMYFUNCTION("""COMPUTED_VALUE"""),"mdmamunurreza@gmail.com")</f>
        <v>mdmamunurreza@gmail.com</v>
      </c>
      <c r="D317" s="3" t="str">
        <f>IFERROR(__xludf.DUMMYFUNCTION("""COMPUTED_VALUE"""),"01774404886")</f>
        <v>01774404886</v>
      </c>
      <c r="E317" s="3" t="str">
        <f>IFERROR(__xludf.DUMMYFUNCTION("""COMPUTED_VALUE"""),"L")</f>
        <v>L</v>
      </c>
      <c r="F317" s="3">
        <v>816.0</v>
      </c>
    </row>
    <row r="318">
      <c r="A318" s="3" t="str">
        <f>IFERROR(__xludf.DUMMYFUNCTION("""COMPUTED_VALUE"""),"DGO2OKIBOA")</f>
        <v>DGO2OKIBOA</v>
      </c>
      <c r="B318" s="3" t="str">
        <f>IFERROR(__xludf.DUMMYFUNCTION("""COMPUTED_VALUE"""),"Farmila Easmin Esha ")</f>
        <v>Farmila Easmin Esha </v>
      </c>
      <c r="C318" s="3" t="str">
        <f>IFERROR(__xludf.DUMMYFUNCTION("""COMPUTED_VALUE"""),"farmilaeasmin@gmail.com")</f>
        <v>farmilaeasmin@gmail.com</v>
      </c>
      <c r="D318" s="3" t="str">
        <f>IFERROR(__xludf.DUMMYFUNCTION("""COMPUTED_VALUE"""),"01746870481")</f>
        <v>01746870481</v>
      </c>
      <c r="E318" s="3" t="str">
        <f>IFERROR(__xludf.DUMMYFUNCTION("""COMPUTED_VALUE"""),"XL")</f>
        <v>XL</v>
      </c>
      <c r="F318" s="3">
        <v>817.0</v>
      </c>
    </row>
    <row r="319">
      <c r="A319" s="3" t="str">
        <f>IFERROR(__xludf.DUMMYFUNCTION("""COMPUTED_VALUE"""),"DGO8OKYF1O")</f>
        <v>DGO8OKYF1O</v>
      </c>
      <c r="B319" s="3" t="str">
        <f>IFERROR(__xludf.DUMMYFUNCTION("""COMPUTED_VALUE"""),"Muzahidul Islam")</f>
        <v>Muzahidul Islam</v>
      </c>
      <c r="C319" s="3" t="str">
        <f>IFERROR(__xludf.DUMMYFUNCTION("""COMPUTED_VALUE"""),"muzahidulislam4002@gmail.com")</f>
        <v>muzahidulislam4002@gmail.com</v>
      </c>
      <c r="D319" s="3" t="str">
        <f>IFERROR(__xludf.DUMMYFUNCTION("""COMPUTED_VALUE"""),"01325832107")</f>
        <v>01325832107</v>
      </c>
      <c r="E319" s="3" t="str">
        <f>IFERROR(__xludf.DUMMYFUNCTION("""COMPUTED_VALUE"""),"XL")</f>
        <v>XL</v>
      </c>
      <c r="F319" s="3">
        <v>818.0</v>
      </c>
    </row>
    <row r="320">
      <c r="A320" s="3" t="str">
        <f>IFERROR(__xludf.DUMMYFUNCTION("""COMPUTED_VALUE"""),"DGO4ONMRKS")</f>
        <v>DGO4ONMRKS</v>
      </c>
      <c r="B320" s="3" t="str">
        <f>IFERROR(__xludf.DUMMYFUNCTION("""COMPUTED_VALUE"""),"Md. Masum")</f>
        <v>Md. Masum</v>
      </c>
      <c r="C320" s="3" t="str">
        <f>IFERROR(__xludf.DUMMYFUNCTION("""COMPUTED_VALUE"""),"masumhasan180@gmail.com")</f>
        <v>masumhasan180@gmail.com</v>
      </c>
      <c r="D320" s="3" t="str">
        <f>IFERROR(__xludf.DUMMYFUNCTION("""COMPUTED_VALUE"""),"01630409167")</f>
        <v>01630409167</v>
      </c>
      <c r="E320" s="3" t="str">
        <f>IFERROR(__xludf.DUMMYFUNCTION("""COMPUTED_VALUE"""),"M")</f>
        <v>M</v>
      </c>
      <c r="F320" s="3">
        <v>819.0</v>
      </c>
    </row>
    <row r="321">
      <c r="A321" s="3" t="str">
        <f>IFERROR(__xludf.DUMMYFUNCTION("""COMPUTED_VALUE"""),"DGO8OO2ZIA")</f>
        <v>DGO8OO2ZIA</v>
      </c>
      <c r="B321" s="3" t="str">
        <f>IFERROR(__xludf.DUMMYFUNCTION("""COMPUTED_VALUE"""),"NAEEMUR RAHMAN ")</f>
        <v>NAEEMUR RAHMAN </v>
      </c>
      <c r="C321" s="3" t="str">
        <f>IFERROR(__xludf.DUMMYFUNCTION("""COMPUTED_VALUE"""),"naeem24625@gmail.com")</f>
        <v>naeem24625@gmail.com</v>
      </c>
      <c r="D321" s="3" t="str">
        <f>IFERROR(__xludf.DUMMYFUNCTION("""COMPUTED_VALUE"""),"01867622311")</f>
        <v>01867622311</v>
      </c>
      <c r="E321" s="3" t="str">
        <f>IFERROR(__xludf.DUMMYFUNCTION("""COMPUTED_VALUE"""),"2XL")</f>
        <v>2XL</v>
      </c>
      <c r="F321" s="3">
        <v>820.0</v>
      </c>
    </row>
    <row r="322">
      <c r="A322" s="3" t="str">
        <f>IFERROR(__xludf.DUMMYFUNCTION("""COMPUTED_VALUE"""),"DGO5OP07DL")</f>
        <v>DGO5OP07DL</v>
      </c>
      <c r="B322" s="3" t="str">
        <f>IFERROR(__xludf.DUMMYFUNCTION("""COMPUTED_VALUE"""),"Sayed Shafiul Maznobin")</f>
        <v>Sayed Shafiul Maznobin</v>
      </c>
      <c r="C322" s="3" t="str">
        <f>IFERROR(__xludf.DUMMYFUNCTION("""COMPUTED_VALUE"""),"sayedshafiulmaznobin@gmail.com")</f>
        <v>sayedshafiulmaznobin@gmail.com</v>
      </c>
      <c r="D322" s="3" t="str">
        <f>IFERROR(__xludf.DUMMYFUNCTION("""COMPUTED_VALUE"""),"01723801071")</f>
        <v>01723801071</v>
      </c>
      <c r="E322" s="3" t="str">
        <f>IFERROR(__xludf.DUMMYFUNCTION("""COMPUTED_VALUE"""),"M")</f>
        <v>M</v>
      </c>
      <c r="F322" s="3">
        <v>821.0</v>
      </c>
    </row>
    <row r="323">
      <c r="A323" s="3" t="str">
        <f>IFERROR(__xludf.DUMMYFUNCTION("""COMPUTED_VALUE"""),"....")</f>
        <v>....</v>
      </c>
      <c r="B323" s="3" t="str">
        <f>IFERROR(__xludf.DUMMYFUNCTION("""COMPUTED_VALUE"""),"Ahasanul Haque Abir ")</f>
        <v>Ahasanul Haque Abir </v>
      </c>
      <c r="C323" s="3" t="str">
        <f>IFERROR(__xludf.DUMMYFUNCTION("""COMPUTED_VALUE"""),"abirmolla595@gmail.com")</f>
        <v>abirmolla595@gmail.com</v>
      </c>
      <c r="D323" s="3" t="str">
        <f>IFERROR(__xludf.DUMMYFUNCTION("""COMPUTED_VALUE"""),"01646183568")</f>
        <v>01646183568</v>
      </c>
      <c r="E323" s="3" t="str">
        <f>IFERROR(__xludf.DUMMYFUNCTION("""COMPUTED_VALUE"""),"XL")</f>
        <v>XL</v>
      </c>
      <c r="F323" s="3">
        <v>822.0</v>
      </c>
    </row>
    <row r="324">
      <c r="A324" s="3" t="str">
        <f>IFERROR(__xludf.DUMMYFUNCTION("""COMPUTED_VALUE"""),"******")</f>
        <v>******</v>
      </c>
      <c r="B324" s="3" t="str">
        <f>IFERROR(__xludf.DUMMYFUNCTION("""COMPUTED_VALUE"""),"Md Mejanur Rahman ")</f>
        <v>Md Mejanur Rahman </v>
      </c>
      <c r="C324" s="3" t="str">
        <f>IFERROR(__xludf.DUMMYFUNCTION("""COMPUTED_VALUE"""),"mejanir17@gmail.com")</f>
        <v>mejanir17@gmail.com</v>
      </c>
      <c r="D324" s="3" t="str">
        <f>IFERROR(__xludf.DUMMYFUNCTION("""COMPUTED_VALUE"""),"01728510652")</f>
        <v>01728510652</v>
      </c>
      <c r="E324" s="3" t="str">
        <f>IFERROR(__xludf.DUMMYFUNCTION("""COMPUTED_VALUE"""),"2xL")</f>
        <v>2xL</v>
      </c>
      <c r="F324" s="3">
        <v>823.0</v>
      </c>
    </row>
    <row r="325">
      <c r="A325" s="3" t="str">
        <f>IFERROR(__xludf.DUMMYFUNCTION("""COMPUTED_VALUE"""),"DGO8OQU9V8")</f>
        <v>DGO8OQU9V8</v>
      </c>
      <c r="B325" s="3" t="str">
        <f>IFERROR(__xludf.DUMMYFUNCTION("""COMPUTED_VALUE"""),"MD SAJU RAHMAN ")</f>
        <v>MD SAJU RAHMAN </v>
      </c>
      <c r="C325" s="3" t="str">
        <f>IFERROR(__xludf.DUMMYFUNCTION("""COMPUTED_VALUE"""),"sajukhan123420@gmail.com")</f>
        <v>sajukhan123420@gmail.com</v>
      </c>
      <c r="D325" s="3" t="str">
        <f>IFERROR(__xludf.DUMMYFUNCTION("""COMPUTED_VALUE"""),"01810475420")</f>
        <v>01810475420</v>
      </c>
      <c r="E325" s="3" t="str">
        <f>IFERROR(__xludf.DUMMYFUNCTION("""COMPUTED_VALUE"""),"M")</f>
        <v>M</v>
      </c>
      <c r="F325" s="3">
        <v>824.0</v>
      </c>
    </row>
    <row r="326">
      <c r="A326" s="3" t="str">
        <f>IFERROR(__xludf.DUMMYFUNCTION("""COMPUTED_VALUE"""),"DGO7OR1FFF")</f>
        <v>DGO7OR1FFF</v>
      </c>
      <c r="B326" s="3" t="str">
        <f>IFERROR(__xludf.DUMMYFUNCTION("""COMPUTED_VALUE"""),"MD. Mehedi Hassan ")</f>
        <v>MD. Mehedi Hassan </v>
      </c>
      <c r="C326" s="3" t="str">
        <f>IFERROR(__xludf.DUMMYFUNCTION("""COMPUTED_VALUE"""),"mehedihasan1067@gmail.com")</f>
        <v>mehedihasan1067@gmail.com</v>
      </c>
      <c r="D326" s="3" t="str">
        <f>IFERROR(__xludf.DUMMYFUNCTION("""COMPUTED_VALUE"""),"01797131772")</f>
        <v>01797131772</v>
      </c>
      <c r="E326" s="3" t="str">
        <f>IFERROR(__xludf.DUMMYFUNCTION("""COMPUTED_VALUE"""),"XL")</f>
        <v>XL</v>
      </c>
      <c r="F326" s="3">
        <v>825.0</v>
      </c>
    </row>
    <row r="327">
      <c r="A327" s="3" t="str">
        <f>IFERROR(__xludf.DUMMYFUNCTION("""COMPUTED_VALUE"""),"DGO3OR2RBR")</f>
        <v>DGO3OR2RBR</v>
      </c>
      <c r="B327" s="3" t="str">
        <f>IFERROR(__xludf.DUMMYFUNCTION("""COMPUTED_VALUE"""),"Tawhidul Islam")</f>
        <v>Tawhidul Islam</v>
      </c>
      <c r="C327" s="3" t="str">
        <f>IFERROR(__xludf.DUMMYFUNCTION("""COMPUTED_VALUE"""),"tawhidju45@gmail.com")</f>
        <v>tawhidju45@gmail.com</v>
      </c>
      <c r="D327" s="3" t="str">
        <f>IFERROR(__xludf.DUMMYFUNCTION("""COMPUTED_VALUE"""),"1775706988")</f>
        <v>1775706988</v>
      </c>
      <c r="E327" s="3" t="str">
        <f>IFERROR(__xludf.DUMMYFUNCTION("""COMPUTED_VALUE"""),"XL")</f>
        <v>XL</v>
      </c>
      <c r="F327" s="3">
        <v>826.0</v>
      </c>
    </row>
    <row r="328">
      <c r="A328" s="3" t="str">
        <f>IFERROR(__xludf.DUMMYFUNCTION("""COMPUTED_VALUE"""),"6769302869")</f>
        <v>6769302869</v>
      </c>
      <c r="B328" s="3" t="str">
        <f>IFERROR(__xludf.DUMMYFUNCTION("""COMPUTED_VALUE"""),"Sahabul Haque ")</f>
        <v>Sahabul Haque </v>
      </c>
      <c r="C328" s="3" t="str">
        <f>IFERROR(__xludf.DUMMYFUNCTION("""COMPUTED_VALUE"""),"saha.justat.49@gmail.com")</f>
        <v>saha.justat.49@gmail.com</v>
      </c>
      <c r="D328" s="3" t="str">
        <f>IFERROR(__xludf.DUMMYFUNCTION("""COMPUTED_VALUE"""),"01605674605")</f>
        <v>01605674605</v>
      </c>
      <c r="E328" s="3" t="str">
        <f>IFERROR(__xludf.DUMMYFUNCTION("""COMPUTED_VALUE"""),"M")</f>
        <v>M</v>
      </c>
      <c r="F328" s="3">
        <v>827.0</v>
      </c>
    </row>
    <row r="329">
      <c r="A329" s="3" t="str">
        <f>IFERROR(__xludf.DUMMYFUNCTION("""COMPUTED_VALUE"""),"DGO9ORKDI7")</f>
        <v>DGO9ORKDI7</v>
      </c>
      <c r="B329" s="3" t="str">
        <f>IFERROR(__xludf.DUMMYFUNCTION("""COMPUTED_VALUE"""),"Md.istiak Ahmed ")</f>
        <v>Md.istiak Ahmed </v>
      </c>
      <c r="C329" s="3" t="str">
        <f>IFERROR(__xludf.DUMMYFUNCTION("""COMPUTED_VALUE"""),"istiakahmedsohan57@gmail.com")</f>
        <v>istiakahmedsohan57@gmail.com</v>
      </c>
      <c r="D329" s="3" t="str">
        <f>IFERROR(__xludf.DUMMYFUNCTION("""COMPUTED_VALUE"""),"01717999338")</f>
        <v>01717999338</v>
      </c>
      <c r="E329" s="3" t="str">
        <f>IFERROR(__xludf.DUMMYFUNCTION("""COMPUTED_VALUE"""),"2XL")</f>
        <v>2XL</v>
      </c>
      <c r="F329" s="3">
        <v>828.0</v>
      </c>
    </row>
    <row r="330">
      <c r="A330" s="3" t="str">
        <f>IFERROR(__xludf.DUMMYFUNCTION("""COMPUTED_VALUE"""),"DGO3ORYLHZ")</f>
        <v>DGO3ORYLHZ</v>
      </c>
      <c r="B330" s="3" t="str">
        <f>IFERROR(__xludf.DUMMYFUNCTION("""COMPUTED_VALUE"""),"Fabia Akter Toma ")</f>
        <v>Fabia Akter Toma </v>
      </c>
      <c r="C330" s="3" t="str">
        <f>IFERROR(__xludf.DUMMYFUNCTION("""COMPUTED_VALUE"""),"fabiatoma27@gmail.com")</f>
        <v>fabiatoma27@gmail.com</v>
      </c>
      <c r="D330" s="3" t="str">
        <f>IFERROR(__xludf.DUMMYFUNCTION("""COMPUTED_VALUE"""),"01706270118")</f>
        <v>01706270118</v>
      </c>
      <c r="E330" s="3" t="str">
        <f>IFERROR(__xludf.DUMMYFUNCTION("""COMPUTED_VALUE"""),"2XL")</f>
        <v>2XL</v>
      </c>
      <c r="F330" s="3">
        <v>829.0</v>
      </c>
    </row>
    <row r="331">
      <c r="A331" s="3" t="str">
        <f>IFERROR(__xludf.DUMMYFUNCTION("""COMPUTED_VALUE"""),"DGO4OSCCLM")</f>
        <v>DGO4OSCCLM</v>
      </c>
      <c r="B331" s="3" t="str">
        <f>IFERROR(__xludf.DUMMYFUNCTION("""COMPUTED_VALUE"""),"Tanu Malakar ")</f>
        <v>Tanu Malakar </v>
      </c>
      <c r="C331" s="3" t="str">
        <f>IFERROR(__xludf.DUMMYFUNCTION("""COMPUTED_VALUE"""),"tanumalakar247@gmail.com")</f>
        <v>tanumalakar247@gmail.com</v>
      </c>
      <c r="D331" s="3" t="str">
        <f>IFERROR(__xludf.DUMMYFUNCTION("""COMPUTED_VALUE"""),"01633957552")</f>
        <v>01633957552</v>
      </c>
      <c r="E331" s="3" t="str">
        <f>IFERROR(__xludf.DUMMYFUNCTION("""COMPUTED_VALUE"""),"L")</f>
        <v>L</v>
      </c>
      <c r="F331" s="3">
        <v>830.0</v>
      </c>
    </row>
    <row r="332">
      <c r="A332" s="3" t="str">
        <f>IFERROR(__xludf.DUMMYFUNCTION("""COMPUTED_VALUE"""),"DGO1OSD6TV")</f>
        <v>DGO1OSD6TV</v>
      </c>
      <c r="B332" s="3" t="str">
        <f>IFERROR(__xludf.DUMMYFUNCTION("""COMPUTED_VALUE"""),"Mymona Jannat Mokta ")</f>
        <v>Mymona Jannat Mokta </v>
      </c>
      <c r="C332" s="3" t="str">
        <f>IFERROR(__xludf.DUMMYFUNCTION("""COMPUTED_VALUE"""),"mymonamokta365@gmail.com")</f>
        <v>mymonamokta365@gmail.com</v>
      </c>
      <c r="D332" s="3" t="str">
        <f>IFERROR(__xludf.DUMMYFUNCTION("""COMPUTED_VALUE"""),"01603100693")</f>
        <v>01603100693</v>
      </c>
      <c r="E332" s="3" t="str">
        <f>IFERROR(__xludf.DUMMYFUNCTION("""COMPUTED_VALUE"""),"L size")</f>
        <v>L size</v>
      </c>
      <c r="F332" s="3">
        <v>831.0</v>
      </c>
    </row>
    <row r="333">
      <c r="A333" s="3" t="str">
        <f>IFERROR(__xludf.DUMMYFUNCTION("""COMPUTED_VALUE"""),"DGO7OSCMTH")</f>
        <v>DGO7OSCMTH</v>
      </c>
      <c r="B333" s="3" t="str">
        <f>IFERROR(__xludf.DUMMYFUNCTION("""COMPUTED_VALUE"""),"Md Tohidul Newaz Himel")</f>
        <v>Md Tohidul Newaz Himel</v>
      </c>
      <c r="C333" s="3" t="str">
        <f>IFERROR(__xludf.DUMMYFUNCTION("""COMPUTED_VALUE"""),"newazhimel7484@gmail.com")</f>
        <v>newazhimel7484@gmail.com</v>
      </c>
      <c r="D333" s="3" t="str">
        <f>IFERROR(__xludf.DUMMYFUNCTION("""COMPUTED_VALUE"""),"01306263595")</f>
        <v>01306263595</v>
      </c>
      <c r="E333" s="3" t="str">
        <f>IFERROR(__xludf.DUMMYFUNCTION("""COMPUTED_VALUE"""),"L")</f>
        <v>L</v>
      </c>
      <c r="F333" s="3">
        <v>832.0</v>
      </c>
    </row>
    <row r="334">
      <c r="A334" s="3" t="str">
        <f>IFERROR(__xludf.DUMMYFUNCTION("""COMPUTED_VALUE"""),"DGO8OSF44S")</f>
        <v>DGO8OSF44S</v>
      </c>
      <c r="B334" s="3" t="str">
        <f>IFERROR(__xludf.DUMMYFUNCTION("""COMPUTED_VALUE"""),"Zilani")</f>
        <v>Zilani</v>
      </c>
      <c r="C334" s="3" t="str">
        <f>IFERROR(__xludf.DUMMYFUNCTION("""COMPUTED_VALUE"""),"abdulkadirzilani92@gmail.com")</f>
        <v>abdulkadirzilani92@gmail.com</v>
      </c>
      <c r="D334" s="3" t="str">
        <f>IFERROR(__xludf.DUMMYFUNCTION("""COMPUTED_VALUE"""),"01319313108")</f>
        <v>01319313108</v>
      </c>
      <c r="E334" s="3" t="str">
        <f>IFERROR(__xludf.DUMMYFUNCTION("""COMPUTED_VALUE"""),"L")</f>
        <v>L</v>
      </c>
      <c r="F334" s="3">
        <v>833.0</v>
      </c>
    </row>
    <row r="335">
      <c r="A335" s="3" t="str">
        <f>IFERROR(__xludf.DUMMYFUNCTION("""COMPUTED_VALUE"""),"shiblu")</f>
        <v>shiblu</v>
      </c>
      <c r="B335" s="3" t="str">
        <f>IFERROR(__xludf.DUMMYFUNCTION("""COMPUTED_VALUE"""),"AL-IMRAN")</f>
        <v>AL-IMRAN</v>
      </c>
      <c r="C335" s="3" t="str">
        <f>IFERROR(__xludf.DUMMYFUNCTION("""COMPUTED_VALUE"""),"alimran2003.2024@gmail.com")</f>
        <v>alimran2003.2024@gmail.com</v>
      </c>
      <c r="D335" s="3" t="str">
        <f>IFERROR(__xludf.DUMMYFUNCTION("""COMPUTED_VALUE"""),"01759793200")</f>
        <v>01759793200</v>
      </c>
      <c r="E335" s="3" t="str">
        <f>IFERROR(__xludf.DUMMYFUNCTION("""COMPUTED_VALUE"""),"M")</f>
        <v>M</v>
      </c>
      <c r="F335" s="3">
        <v>834.0</v>
      </c>
    </row>
    <row r="336">
      <c r="A336" s="3" t="str">
        <f>IFERROR(__xludf.DUMMYFUNCTION("""COMPUTED_VALUE"""),"DGO5OSKK8F")</f>
        <v>DGO5OSKK8F</v>
      </c>
      <c r="B336" s="3" t="str">
        <f>IFERROR(__xludf.DUMMYFUNCTION("""COMPUTED_VALUE"""),"Mamun")</f>
        <v>Mamun</v>
      </c>
      <c r="C336" s="3" t="str">
        <f>IFERROR(__xludf.DUMMYFUNCTION("""COMPUTED_VALUE"""),"mamunparvejs@gmail.com")</f>
        <v>mamunparvejs@gmail.com</v>
      </c>
      <c r="D336" s="3" t="str">
        <f>IFERROR(__xludf.DUMMYFUNCTION("""COMPUTED_VALUE"""),"+880 1719-355187")</f>
        <v>+880 1719-355187</v>
      </c>
      <c r="E336" s="3" t="str">
        <f>IFERROR(__xludf.DUMMYFUNCTION("""COMPUTED_VALUE"""),"XL")</f>
        <v>XL</v>
      </c>
      <c r="F336" s="3">
        <v>835.0</v>
      </c>
    </row>
    <row r="337">
      <c r="A337" s="3" t="str">
        <f>IFERROR(__xludf.DUMMYFUNCTION("""COMPUTED_VALUE"""),"DGO1OSO81L")</f>
        <v>DGO1OSO81L</v>
      </c>
      <c r="B337" s="3" t="str">
        <f>IFERROR(__xludf.DUMMYFUNCTION("""COMPUTED_VALUE"""),"Md Humaon Kabir")</f>
        <v>Md Humaon Kabir</v>
      </c>
      <c r="C337" s="3" t="str">
        <f>IFERROR(__xludf.DUMMYFUNCTION("""COMPUTED_VALUE"""),"humaonkabir2003@gmail.com")</f>
        <v>humaonkabir2003@gmail.com</v>
      </c>
      <c r="D337" s="3" t="str">
        <f>IFERROR(__xludf.DUMMYFUNCTION("""COMPUTED_VALUE"""),"01743637814")</f>
        <v>01743637814</v>
      </c>
      <c r="E337" s="3" t="str">
        <f>IFERROR(__xludf.DUMMYFUNCTION("""COMPUTED_VALUE"""),"XL")</f>
        <v>XL</v>
      </c>
      <c r="F337" s="3">
        <v>836.0</v>
      </c>
    </row>
    <row r="338">
      <c r="A338" s="3" t="str">
        <f>IFERROR(__xludf.DUMMYFUNCTION("""COMPUTED_VALUE"""),"DGO3OSROS7")</f>
        <v>DGO3OSROS7</v>
      </c>
      <c r="B338" s="3" t="str">
        <f>IFERROR(__xludf.DUMMYFUNCTION("""COMPUTED_VALUE"""),"khyrul Islam Akas ")</f>
        <v>khyrul Islam Akas </v>
      </c>
      <c r="C338" s="3" t="str">
        <f>IFERROR(__xludf.DUMMYFUNCTION("""COMPUTED_VALUE"""),"khyrulislamakas@gmail.com")</f>
        <v>khyrulislamakas@gmail.com</v>
      </c>
      <c r="D338" s="3" t="str">
        <f>IFERROR(__xludf.DUMMYFUNCTION("""COMPUTED_VALUE"""),"01624093916")</f>
        <v>01624093916</v>
      </c>
      <c r="E338" s="3" t="str">
        <f>IFERROR(__xludf.DUMMYFUNCTION("""COMPUTED_VALUE"""),"XL")</f>
        <v>XL</v>
      </c>
      <c r="F338" s="3">
        <v>837.0</v>
      </c>
    </row>
    <row r="339">
      <c r="A339" s="3" t="str">
        <f>IFERROR(__xludf.DUMMYFUNCTION("""COMPUTED_VALUE"""),"DGO7OSV3T7")</f>
        <v>DGO7OSV3T7</v>
      </c>
      <c r="B339" s="3" t="str">
        <f>IFERROR(__xludf.DUMMYFUNCTION("""COMPUTED_VALUE"""),"Md Momin Sikdar ")</f>
        <v>Md Momin Sikdar </v>
      </c>
      <c r="C339" s="3" t="str">
        <f>IFERROR(__xludf.DUMMYFUNCTION("""COMPUTED_VALUE"""),"20260863136momin@juniv.edu")</f>
        <v>20260863136momin@juniv.edu</v>
      </c>
      <c r="D339" s="3" t="str">
        <f>IFERROR(__xludf.DUMMYFUNCTION("""COMPUTED_VALUE"""),"01407733120")</f>
        <v>01407733120</v>
      </c>
      <c r="E339" s="3" t="str">
        <f>IFERROR(__xludf.DUMMYFUNCTION("""COMPUTED_VALUE"""),"L")</f>
        <v>L</v>
      </c>
      <c r="F339" s="3">
        <v>838.0</v>
      </c>
    </row>
    <row r="340">
      <c r="A340" s="3" t="str">
        <f>IFERROR(__xludf.DUMMYFUNCTION("""COMPUTED_VALUE"""),"DGO0OT4JGS")</f>
        <v>DGO0OT4JGS</v>
      </c>
      <c r="B340" s="3" t="str">
        <f>IFERROR(__xludf.DUMMYFUNCTION("""COMPUTED_VALUE"""),"Abdullah")</f>
        <v>Abdullah</v>
      </c>
      <c r="C340" s="3" t="str">
        <f>IFERROR(__xludf.DUMMYFUNCTION("""COMPUTED_VALUE"""),"abdullahallemam55@gmail.com")</f>
        <v>abdullahallemam55@gmail.com</v>
      </c>
      <c r="D340" s="3" t="str">
        <f>IFERROR(__xludf.DUMMYFUNCTION("""COMPUTED_VALUE"""),"01824524513")</f>
        <v>01824524513</v>
      </c>
      <c r="E340" s="3" t="str">
        <f>IFERROR(__xludf.DUMMYFUNCTION("""COMPUTED_VALUE"""),"L")</f>
        <v>L</v>
      </c>
      <c r="F340" s="3">
        <v>839.0</v>
      </c>
    </row>
    <row r="341">
      <c r="A341" s="3" t="str">
        <f>IFERROR(__xludf.DUMMYFUNCTION("""COMPUTED_VALUE"""),"DGO9OTRFEF")</f>
        <v>DGO9OTRFEF</v>
      </c>
      <c r="B341" s="3" t="str">
        <f>IFERROR(__xludf.DUMMYFUNCTION("""COMPUTED_VALUE"""),"Mohammad Sohag")</f>
        <v>Mohammad Sohag</v>
      </c>
      <c r="C341" s="3" t="str">
        <f>IFERROR(__xludf.DUMMYFUNCTION("""COMPUTED_VALUE"""),"20220554922sohag@juniv.edu")</f>
        <v>20220554922sohag@juniv.edu</v>
      </c>
      <c r="D341" s="3" t="str">
        <f>IFERROR(__xludf.DUMMYFUNCTION("""COMPUTED_VALUE"""),"01751452644")</f>
        <v>01751452644</v>
      </c>
      <c r="E341" s="3" t="str">
        <f>IFERROR(__xludf.DUMMYFUNCTION("""COMPUTED_VALUE"""),"XL")</f>
        <v>XL</v>
      </c>
      <c r="F341" s="3">
        <v>840.0</v>
      </c>
    </row>
    <row r="342">
      <c r="A342" s="3" t="str">
        <f>IFERROR(__xludf.DUMMYFUNCTION("""COMPUTED_VALUE"""),"DGO3OUGR97")</f>
        <v>DGO3OUGR97</v>
      </c>
      <c r="B342" s="3" t="str">
        <f>IFERROR(__xludf.DUMMYFUNCTION("""COMPUTED_VALUE"""),"Tanvir Manowar Siyam ")</f>
        <v>Tanvir Manowar Siyam </v>
      </c>
      <c r="C342" s="3" t="str">
        <f>IFERROR(__xludf.DUMMYFUNCTION("""COMPUTED_VALUE"""),"tanvirsiyam77@gmail.com")</f>
        <v>tanvirsiyam77@gmail.com</v>
      </c>
      <c r="D342" s="3" t="str">
        <f>IFERROR(__xludf.DUMMYFUNCTION("""COMPUTED_VALUE"""),"01522135451")</f>
        <v>01522135451</v>
      </c>
      <c r="E342" s="3" t="str">
        <f>IFERROR(__xludf.DUMMYFUNCTION("""COMPUTED_VALUE"""),"XL")</f>
        <v>XL</v>
      </c>
      <c r="F342" s="3">
        <v>841.0</v>
      </c>
    </row>
    <row r="343">
      <c r="A343" s="3" t="str">
        <f>IFERROR(__xludf.DUMMYFUNCTION("""COMPUTED_VALUE"""),"DGO1OUQ7C7")</f>
        <v>DGO1OUQ7C7</v>
      </c>
      <c r="B343" s="3" t="str">
        <f>IFERROR(__xludf.DUMMYFUNCTION("""COMPUTED_VALUE"""),"IMTIAJ AHMED NILOY")</f>
        <v>IMTIAJ AHMED NILOY</v>
      </c>
      <c r="C343" s="3" t="str">
        <f>IFERROR(__xludf.DUMMYFUNCTION("""COMPUTED_VALUE"""),"ianiloy2001@gmail.com")</f>
        <v>ianiloy2001@gmail.com</v>
      </c>
      <c r="D343" s="3" t="str">
        <f>IFERROR(__xludf.DUMMYFUNCTION("""COMPUTED_VALUE"""),"01610700513")</f>
        <v>01610700513</v>
      </c>
      <c r="E343" s="3" t="str">
        <f>IFERROR(__xludf.DUMMYFUNCTION("""COMPUTED_VALUE"""),"L")</f>
        <v>L</v>
      </c>
      <c r="F343" s="3">
        <v>842.0</v>
      </c>
    </row>
    <row r="344">
      <c r="A344" s="3" t="str">
        <f>IFERROR(__xludf.DUMMYFUNCTION("""COMPUTED_VALUE"""),"DGO5OUOKHP")</f>
        <v>DGO5OUOKHP</v>
      </c>
      <c r="B344" s="3" t="str">
        <f>IFERROR(__xludf.DUMMYFUNCTION("""COMPUTED_VALUE"""),"Chandra Bindu ")</f>
        <v>Chandra Bindu </v>
      </c>
      <c r="C344" s="3" t="str">
        <f>IFERROR(__xludf.DUMMYFUNCTION("""COMPUTED_VALUE"""),"shorif.chem@gmail.com")</f>
        <v>shorif.chem@gmail.com</v>
      </c>
      <c r="D344" s="3" t="str">
        <f>IFERROR(__xludf.DUMMYFUNCTION("""COMPUTED_VALUE"""),"01760036262")</f>
        <v>01760036262</v>
      </c>
      <c r="E344" s="3" t="str">
        <f>IFERROR(__xludf.DUMMYFUNCTION("""COMPUTED_VALUE"""),"L")</f>
        <v>L</v>
      </c>
      <c r="F344" s="3">
        <v>843.0</v>
      </c>
    </row>
    <row r="345">
      <c r="A345" s="3" t="str">
        <f>IFERROR(__xludf.DUMMYFUNCTION("""COMPUTED_VALUE"""),"Send money from : 01701584980")</f>
        <v>Send money from : 01701584980</v>
      </c>
      <c r="B345" s="3" t="str">
        <f>IFERROR(__xludf.DUMMYFUNCTION("""COMPUTED_VALUE"""),"Anindita Haque Prova ")</f>
        <v>Anindita Haque Prova </v>
      </c>
      <c r="C345" s="3" t="str">
        <f>IFERROR(__xludf.DUMMYFUNCTION("""COMPUTED_VALUE"""),"aninditaprova7@gmail.com")</f>
        <v>aninditaprova7@gmail.com</v>
      </c>
      <c r="D345" s="3" t="str">
        <f>IFERROR(__xludf.DUMMYFUNCTION("""COMPUTED_VALUE"""),"01629006503")</f>
        <v>01629006503</v>
      </c>
      <c r="E345" s="3" t="str">
        <f>IFERROR(__xludf.DUMMYFUNCTION("""COMPUTED_VALUE"""),"XL")</f>
        <v>XL</v>
      </c>
      <c r="F345" s="3">
        <v>844.0</v>
      </c>
    </row>
    <row r="346">
      <c r="A346" s="3" t="str">
        <f>IFERROR(__xludf.DUMMYFUNCTION("""COMPUTED_VALUE"""),"DGO0OV16US")</f>
        <v>DGO0OV16US</v>
      </c>
      <c r="B346" s="3" t="str">
        <f>IFERROR(__xludf.DUMMYFUNCTION("""COMPUTED_VALUE"""),"Sudepto Bain ")</f>
        <v>Sudepto Bain </v>
      </c>
      <c r="C346" s="3" t="str">
        <f>IFERROR(__xludf.DUMMYFUNCTION("""COMPUTED_VALUE"""),"sudeptobain157@gmail.com")</f>
        <v>sudeptobain157@gmail.com</v>
      </c>
      <c r="D346" s="3" t="str">
        <f>IFERROR(__xludf.DUMMYFUNCTION("""COMPUTED_VALUE"""),"01611160899")</f>
        <v>01611160899</v>
      </c>
      <c r="E346" s="3" t="str">
        <f>IFERROR(__xludf.DUMMYFUNCTION("""COMPUTED_VALUE"""),"XL")</f>
        <v>XL</v>
      </c>
      <c r="F346" s="3">
        <v>845.0</v>
      </c>
    </row>
    <row r="347">
      <c r="A347" s="3" t="str">
        <f>IFERROR(__xludf.DUMMYFUNCTION("""COMPUTED_VALUE"""),"DGO1OV6R03")</f>
        <v>DGO1OV6R03</v>
      </c>
      <c r="B347" s="3" t="str">
        <f>IFERROR(__xludf.DUMMYFUNCTION("""COMPUTED_VALUE"""),"RABBI")</f>
        <v>RABBI</v>
      </c>
      <c r="C347" s="3" t="str">
        <f>IFERROR(__xludf.DUMMYFUNCTION("""COMPUTED_VALUE"""),"limonrabbi678@gmail.com")</f>
        <v>limonrabbi678@gmail.com</v>
      </c>
      <c r="D347" s="3" t="str">
        <f>IFERROR(__xludf.DUMMYFUNCTION("""COMPUTED_VALUE"""),"01926517876")</f>
        <v>01926517876</v>
      </c>
      <c r="E347" s="3" t="str">
        <f>IFERROR(__xludf.DUMMYFUNCTION("""COMPUTED_VALUE"""),"L")</f>
        <v>L</v>
      </c>
      <c r="F347" s="3">
        <v>846.0</v>
      </c>
    </row>
    <row r="348">
      <c r="A348" s="3" t="str">
        <f>IFERROR(__xludf.DUMMYFUNCTION("""COMPUTED_VALUE"""),"DGO3OWJA9T")</f>
        <v>DGO3OWJA9T</v>
      </c>
      <c r="B348" s="3" t="str">
        <f>IFERROR(__xludf.DUMMYFUNCTION("""COMPUTED_VALUE"""),"Rakibul Islam ")</f>
        <v>Rakibul Islam </v>
      </c>
      <c r="C348" s="3" t="str">
        <f>IFERROR(__xludf.DUMMYFUNCTION("""COMPUTED_VALUE"""),"rakibulislam258789@gmail.com")</f>
        <v>rakibulislam258789@gmail.com</v>
      </c>
      <c r="D348" s="3" t="str">
        <f>IFERROR(__xludf.DUMMYFUNCTION("""COMPUTED_VALUE"""),"01314900665")</f>
        <v>01314900665</v>
      </c>
      <c r="E348" s="3" t="str">
        <f>IFERROR(__xludf.DUMMYFUNCTION("""COMPUTED_VALUE"""),"XL ")</f>
        <v>XL </v>
      </c>
      <c r="F348" s="3">
        <v>847.0</v>
      </c>
    </row>
    <row r="349">
      <c r="A349" s="3" t="str">
        <f>IFERROR(__xludf.DUMMYFUNCTION("""COMPUTED_VALUE"""),"DGO8OWPVUQ")</f>
        <v>DGO8OWPVUQ</v>
      </c>
      <c r="B349" s="3" t="str">
        <f>IFERROR(__xludf.DUMMYFUNCTION("""COMPUTED_VALUE"""),"Jannatul Afra Niha ")</f>
        <v>Jannatul Afra Niha </v>
      </c>
      <c r="C349" s="3" t="str">
        <f>IFERROR(__xludf.DUMMYFUNCTION("""COMPUTED_VALUE"""),"jannatulafra80@gmail.com")</f>
        <v>jannatulafra80@gmail.com</v>
      </c>
      <c r="D349" s="3" t="str">
        <f>IFERROR(__xludf.DUMMYFUNCTION("""COMPUTED_VALUE"""),"01806592239")</f>
        <v>01806592239</v>
      </c>
      <c r="E349" s="3" t="str">
        <f>IFERROR(__xludf.DUMMYFUNCTION("""COMPUTED_VALUE"""),"L ")</f>
        <v>L </v>
      </c>
      <c r="F349" s="3">
        <v>848.0</v>
      </c>
    </row>
    <row r="350">
      <c r="A350" s="3" t="str">
        <f>IFERROR(__xludf.DUMMYFUNCTION("""COMPUTED_VALUE"""),"DGP6OWUZ0A")</f>
        <v>DGP6OWUZ0A</v>
      </c>
      <c r="B350" s="3" t="str">
        <f>IFERROR(__xludf.DUMMYFUNCTION("""COMPUTED_VALUE"""),"Mustahid Hasan Lazim ")</f>
        <v>Mustahid Hasan Lazim </v>
      </c>
      <c r="C350" s="3" t="str">
        <f>IFERROR(__xludf.DUMMYFUNCTION("""COMPUTED_VALUE"""),"mustahidhasanlazim@gmail.com")</f>
        <v>mustahidhasanlazim@gmail.com</v>
      </c>
      <c r="D350" s="3" t="str">
        <f>IFERROR(__xludf.DUMMYFUNCTION("""COMPUTED_VALUE"""),"01840631989")</f>
        <v>01840631989</v>
      </c>
      <c r="E350" s="3" t="str">
        <f>IFERROR(__xludf.DUMMYFUNCTION("""COMPUTED_VALUE"""),"XL")</f>
        <v>XL</v>
      </c>
      <c r="F350" s="3">
        <v>849.0</v>
      </c>
    </row>
    <row r="351">
      <c r="A351" s="3" t="str">
        <f>IFERROR(__xludf.DUMMYFUNCTION("""COMPUTED_VALUE"""),"DGP3OX47YL")</f>
        <v>DGP3OX47YL</v>
      </c>
      <c r="B351" s="3" t="str">
        <f>IFERROR(__xludf.DUMMYFUNCTION("""COMPUTED_VALUE"""),"Sofiqul Islam")</f>
        <v>Sofiqul Islam</v>
      </c>
      <c r="C351" s="3" t="str">
        <f>IFERROR(__xludf.DUMMYFUNCTION("""COMPUTED_VALUE"""),"sofiqulislam.ju@gmail.com ")</f>
        <v>sofiqulislam.ju@gmail.com </v>
      </c>
      <c r="D351" s="3" t="str">
        <f>IFERROR(__xludf.DUMMYFUNCTION("""COMPUTED_VALUE"""),"01323076979")</f>
        <v>01323076979</v>
      </c>
      <c r="E351" s="3" t="str">
        <f>IFERROR(__xludf.DUMMYFUNCTION("""COMPUTED_VALUE"""),"XL")</f>
        <v>XL</v>
      </c>
      <c r="F351" s="3">
        <v>850.0</v>
      </c>
    </row>
    <row r="352">
      <c r="A352" s="3" t="str">
        <f>IFERROR(__xludf.DUMMYFUNCTION("""COMPUTED_VALUE"""),"DGP3OXIQ8T")</f>
        <v>DGP3OXIQ8T</v>
      </c>
      <c r="B352" s="3" t="str">
        <f>IFERROR(__xludf.DUMMYFUNCTION("""COMPUTED_VALUE"""),"Md Niaz Khandoker ")</f>
        <v>Md Niaz Khandoker </v>
      </c>
      <c r="C352" s="3" t="str">
        <f>IFERROR(__xludf.DUMMYFUNCTION("""COMPUTED_VALUE"""),"niazkhandaker47@gmail.com ")</f>
        <v>niazkhandaker47@gmail.com </v>
      </c>
      <c r="D352" s="3" t="str">
        <f>IFERROR(__xludf.DUMMYFUNCTION("""COMPUTED_VALUE"""),"01740057522")</f>
        <v>01740057522</v>
      </c>
      <c r="E352" s="3" t="str">
        <f>IFERROR(__xludf.DUMMYFUNCTION("""COMPUTED_VALUE"""),"M")</f>
        <v>M</v>
      </c>
      <c r="F352" s="3">
        <v>851.0</v>
      </c>
    </row>
    <row r="353">
      <c r="A353" s="3" t="str">
        <f>IFERROR(__xludf.DUMMYFUNCTION("""COMPUTED_VALUE"""),"DGP8OXJYLW")</f>
        <v>DGP8OXJYLW</v>
      </c>
      <c r="B353" s="3" t="str">
        <f>IFERROR(__xludf.DUMMYFUNCTION("""COMPUTED_VALUE"""),"Shahriar Noor Zonak ")</f>
        <v>Shahriar Noor Zonak </v>
      </c>
      <c r="C353" s="3" t="str">
        <f>IFERROR(__xludf.DUMMYFUNCTION("""COMPUTED_VALUE"""),"shahriarzonak087@gmail.com")</f>
        <v>shahriarzonak087@gmail.com</v>
      </c>
      <c r="D353" s="3" t="str">
        <f>IFERROR(__xludf.DUMMYFUNCTION("""COMPUTED_VALUE"""),"01725429768")</f>
        <v>01725429768</v>
      </c>
      <c r="E353" s="3" t="str">
        <f>IFERROR(__xludf.DUMMYFUNCTION("""COMPUTED_VALUE"""),"2XL")</f>
        <v>2XL</v>
      </c>
      <c r="F353" s="3">
        <v>852.0</v>
      </c>
    </row>
    <row r="354">
      <c r="A354" s="3" t="str">
        <f>IFERROR(__xludf.DUMMYFUNCTION("""COMPUTED_VALUE"""),"DGP6PZR4RI")</f>
        <v>DGP6PZR4RI</v>
      </c>
      <c r="B354" s="3" t="str">
        <f>IFERROR(__xludf.DUMMYFUNCTION("""COMPUTED_VALUE"""),"Ashraful Prodhan")</f>
        <v>Ashraful Prodhan</v>
      </c>
      <c r="C354" s="3" t="str">
        <f>IFERROR(__xludf.DUMMYFUNCTION("""COMPUTED_VALUE"""),"mahadimicro@gmail.com")</f>
        <v>mahadimicro@gmail.com</v>
      </c>
      <c r="D354" s="3" t="str">
        <f>IFERROR(__xludf.DUMMYFUNCTION("""COMPUTED_VALUE"""),"01825040621")</f>
        <v>01825040621</v>
      </c>
      <c r="E354" s="3" t="str">
        <f>IFERROR(__xludf.DUMMYFUNCTION("""COMPUTED_VALUE"""),"2Xl")</f>
        <v>2Xl</v>
      </c>
      <c r="F354" s="3">
        <v>853.0</v>
      </c>
    </row>
    <row r="355">
      <c r="A355" s="3" t="str">
        <f>IFERROR(__xludf.DUMMYFUNCTION("""COMPUTED_VALUE"""),"DGQ1Q40Y9D")</f>
        <v>DGQ1Q40Y9D</v>
      </c>
      <c r="B355" s="3" t="str">
        <f>IFERROR(__xludf.DUMMYFUNCTION("""COMPUTED_VALUE"""),"Kishor Kumar")</f>
        <v>Kishor Kumar</v>
      </c>
      <c r="C355" s="3" t="str">
        <f>IFERROR(__xludf.DUMMYFUNCTION("""COMPUTED_VALUE"""),"kishorsarker512@gmail.com")</f>
        <v>kishorsarker512@gmail.com</v>
      </c>
      <c r="D355" s="3" t="str">
        <f>IFERROR(__xludf.DUMMYFUNCTION("""COMPUTED_VALUE"""),"01304557837")</f>
        <v>01304557837</v>
      </c>
      <c r="E355" s="3" t="str">
        <f>IFERROR(__xludf.DUMMYFUNCTION("""COMPUTED_VALUE"""),"XL")</f>
        <v>XL</v>
      </c>
      <c r="F355" s="3">
        <v>854.0</v>
      </c>
    </row>
    <row r="356">
      <c r="F356" s="3" t="s">
        <v>1381</v>
      </c>
    </row>
    <row r="357">
      <c r="F357" s="3" t="s">
        <v>1381</v>
      </c>
    </row>
    <row r="358">
      <c r="F358" s="3" t="s">
        <v>1381</v>
      </c>
    </row>
    <row r="359">
      <c r="F359" s="3" t="s">
        <v>1381</v>
      </c>
    </row>
    <row r="360">
      <c r="F360" s="3" t="s">
        <v>1381</v>
      </c>
    </row>
    <row r="361">
      <c r="F361" s="3" t="s">
        <v>1381</v>
      </c>
    </row>
    <row r="362">
      <c r="F362" s="3" t="s">
        <v>1381</v>
      </c>
    </row>
    <row r="363">
      <c r="F363" s="3" t="s">
        <v>1381</v>
      </c>
    </row>
    <row r="364">
      <c r="F364" s="3" t="s">
        <v>1381</v>
      </c>
    </row>
    <row r="365">
      <c r="F365" s="3" t="s">
        <v>1381</v>
      </c>
    </row>
    <row r="366">
      <c r="F366" s="3" t="s">
        <v>1381</v>
      </c>
    </row>
    <row r="367">
      <c r="F367" s="3" t="s">
        <v>1381</v>
      </c>
    </row>
    <row r="368">
      <c r="F368" s="3" t="s">
        <v>1381</v>
      </c>
    </row>
    <row r="369">
      <c r="F369" s="3" t="s">
        <v>1381</v>
      </c>
    </row>
    <row r="370">
      <c r="F370" s="3" t="s">
        <v>1381</v>
      </c>
    </row>
    <row r="371">
      <c r="F371" s="3" t="s">
        <v>1381</v>
      </c>
    </row>
    <row r="372">
      <c r="F372" s="3" t="s">
        <v>1381</v>
      </c>
    </row>
    <row r="373">
      <c r="F373" s="3" t="s">
        <v>1381</v>
      </c>
    </row>
    <row r="374">
      <c r="F374" s="3" t="s">
        <v>1381</v>
      </c>
    </row>
    <row r="375">
      <c r="F375" s="3" t="s">
        <v>1381</v>
      </c>
    </row>
    <row r="376">
      <c r="F376" s="3" t="s">
        <v>1381</v>
      </c>
    </row>
    <row r="377">
      <c r="F377" s="3" t="s">
        <v>1381</v>
      </c>
    </row>
    <row r="378">
      <c r="F378" s="3" t="s">
        <v>1381</v>
      </c>
    </row>
    <row r="379">
      <c r="F379" s="3" t="s">
        <v>1381</v>
      </c>
    </row>
    <row r="380">
      <c r="F380" s="3" t="s">
        <v>1381</v>
      </c>
    </row>
    <row r="381">
      <c r="F381" s="3" t="s">
        <v>1381</v>
      </c>
    </row>
    <row r="382">
      <c r="F382" s="3" t="s">
        <v>1381</v>
      </c>
    </row>
    <row r="383">
      <c r="F383" s="3" t="s">
        <v>1381</v>
      </c>
    </row>
    <row r="384">
      <c r="F384" s="3" t="s">
        <v>1381</v>
      </c>
    </row>
    <row r="385">
      <c r="F385" s="3" t="s">
        <v>1381</v>
      </c>
    </row>
    <row r="386">
      <c r="F386" s="3" t="s">
        <v>1381</v>
      </c>
    </row>
    <row r="387">
      <c r="F387" s="3" t="s">
        <v>1381</v>
      </c>
    </row>
    <row r="388">
      <c r="F388" s="3" t="s">
        <v>1381</v>
      </c>
    </row>
    <row r="389">
      <c r="F389" s="3" t="s">
        <v>1381</v>
      </c>
    </row>
    <row r="390">
      <c r="F390" s="3" t="s">
        <v>1381</v>
      </c>
    </row>
    <row r="391">
      <c r="F391" s="3" t="s">
        <v>1381</v>
      </c>
    </row>
    <row r="392">
      <c r="F392" s="3" t="s">
        <v>1381</v>
      </c>
    </row>
    <row r="393">
      <c r="F393" s="3" t="s">
        <v>1381</v>
      </c>
    </row>
    <row r="394">
      <c r="F394" s="3" t="s">
        <v>1381</v>
      </c>
    </row>
    <row r="395">
      <c r="F395" s="3" t="s">
        <v>1381</v>
      </c>
    </row>
    <row r="396">
      <c r="F396" s="3" t="s">
        <v>1381</v>
      </c>
    </row>
    <row r="397">
      <c r="F397" s="3" t="s">
        <v>1381</v>
      </c>
    </row>
    <row r="398">
      <c r="F398" s="3" t="s">
        <v>1381</v>
      </c>
    </row>
    <row r="399">
      <c r="F399" s="3" t="s">
        <v>1381</v>
      </c>
    </row>
    <row r="400">
      <c r="F400" s="3" t="s">
        <v>1381</v>
      </c>
    </row>
    <row r="401">
      <c r="F401" s="3" t="s">
        <v>1381</v>
      </c>
    </row>
    <row r="402">
      <c r="F402" s="3" t="s">
        <v>1381</v>
      </c>
    </row>
    <row r="403">
      <c r="F403" s="3" t="s">
        <v>1381</v>
      </c>
    </row>
    <row r="404">
      <c r="F404" s="3" t="s">
        <v>1381</v>
      </c>
    </row>
    <row r="405">
      <c r="F405" s="3" t="s">
        <v>1381</v>
      </c>
    </row>
    <row r="406">
      <c r="F406" s="3" t="s">
        <v>1381</v>
      </c>
    </row>
    <row r="407">
      <c r="F407" s="3" t="s">
        <v>1381</v>
      </c>
    </row>
    <row r="408">
      <c r="F408" s="3" t="s">
        <v>1381</v>
      </c>
    </row>
    <row r="409">
      <c r="F409" s="3" t="s">
        <v>1381</v>
      </c>
    </row>
    <row r="410">
      <c r="F410" s="3" t="s">
        <v>1381</v>
      </c>
    </row>
    <row r="411">
      <c r="F411" s="3" t="s">
        <v>1381</v>
      </c>
    </row>
    <row r="412">
      <c r="F412" s="3" t="s">
        <v>1381</v>
      </c>
    </row>
    <row r="413">
      <c r="F413" s="3" t="s">
        <v>1381</v>
      </c>
    </row>
    <row r="414">
      <c r="F414" s="3" t="s">
        <v>1381</v>
      </c>
    </row>
    <row r="415">
      <c r="F415" s="3" t="s">
        <v>1381</v>
      </c>
    </row>
    <row r="416">
      <c r="F416" s="3" t="s">
        <v>1381</v>
      </c>
    </row>
    <row r="417">
      <c r="F417" s="3" t="s">
        <v>1381</v>
      </c>
    </row>
    <row r="418">
      <c r="F418" s="3" t="s">
        <v>1381</v>
      </c>
    </row>
    <row r="419">
      <c r="F419" s="3" t="s">
        <v>1381</v>
      </c>
    </row>
    <row r="420">
      <c r="F420" s="3" t="s">
        <v>1381</v>
      </c>
    </row>
    <row r="421">
      <c r="F421" s="3" t="s">
        <v>1381</v>
      </c>
    </row>
    <row r="422">
      <c r="F422" s="3" t="s">
        <v>1381</v>
      </c>
    </row>
    <row r="423">
      <c r="F423" s="3" t="s">
        <v>1381</v>
      </c>
    </row>
    <row r="424">
      <c r="F424" s="3" t="s">
        <v>1381</v>
      </c>
    </row>
    <row r="425">
      <c r="F425" s="3" t="s">
        <v>1381</v>
      </c>
    </row>
    <row r="426">
      <c r="F426" s="3" t="s">
        <v>1381</v>
      </c>
    </row>
    <row r="427">
      <c r="F427" s="3" t="s">
        <v>1381</v>
      </c>
    </row>
    <row r="428">
      <c r="F428" s="3" t="s">
        <v>1381</v>
      </c>
    </row>
    <row r="429">
      <c r="F429" s="3" t="s">
        <v>1381</v>
      </c>
    </row>
    <row r="430">
      <c r="F430" s="3" t="s">
        <v>1381</v>
      </c>
    </row>
    <row r="431">
      <c r="F431" s="3" t="s">
        <v>1381</v>
      </c>
    </row>
    <row r="432">
      <c r="F432" s="3" t="s">
        <v>1381</v>
      </c>
    </row>
    <row r="433">
      <c r="F433" s="3" t="s">
        <v>1381</v>
      </c>
    </row>
    <row r="434">
      <c r="F434" s="3" t="s">
        <v>1381</v>
      </c>
    </row>
    <row r="435">
      <c r="F435" s="3" t="s">
        <v>1381</v>
      </c>
    </row>
    <row r="436">
      <c r="F436" s="3" t="s">
        <v>1381</v>
      </c>
    </row>
    <row r="437">
      <c r="F437" s="3" t="s">
        <v>1381</v>
      </c>
    </row>
    <row r="438">
      <c r="F438" s="3" t="s">
        <v>1381</v>
      </c>
    </row>
    <row r="439">
      <c r="F439" s="3" t="s">
        <v>1381</v>
      </c>
    </row>
    <row r="440">
      <c r="F440" s="3" t="s">
        <v>1381</v>
      </c>
    </row>
    <row r="441">
      <c r="F441" s="3" t="s">
        <v>1381</v>
      </c>
    </row>
    <row r="442">
      <c r="F442" s="3" t="s">
        <v>1381</v>
      </c>
    </row>
    <row r="443">
      <c r="F443" s="3" t="s">
        <v>1381</v>
      </c>
    </row>
    <row r="444">
      <c r="F444" s="3" t="s">
        <v>1381</v>
      </c>
    </row>
    <row r="445">
      <c r="F445" s="3" t="s">
        <v>1381</v>
      </c>
    </row>
    <row r="446">
      <c r="F446" s="3" t="s">
        <v>1381</v>
      </c>
    </row>
    <row r="447">
      <c r="F447" s="3" t="s">
        <v>1381</v>
      </c>
    </row>
    <row r="448">
      <c r="F448" s="3" t="s">
        <v>1381</v>
      </c>
    </row>
    <row r="449">
      <c r="F449" s="3" t="s">
        <v>1381</v>
      </c>
    </row>
    <row r="450">
      <c r="F450" s="3" t="s">
        <v>1381</v>
      </c>
    </row>
    <row r="451">
      <c r="F451" s="3" t="s">
        <v>1381</v>
      </c>
    </row>
    <row r="452">
      <c r="F452" s="3" t="s">
        <v>1381</v>
      </c>
    </row>
    <row r="453">
      <c r="F453" s="3" t="s">
        <v>1381</v>
      </c>
    </row>
    <row r="454">
      <c r="F454" s="3" t="s">
        <v>1381</v>
      </c>
    </row>
    <row r="455">
      <c r="F455" s="3" t="s">
        <v>1381</v>
      </c>
    </row>
    <row r="456">
      <c r="F456" s="3" t="s">
        <v>1381</v>
      </c>
    </row>
    <row r="457">
      <c r="F457" s="3" t="s">
        <v>1381</v>
      </c>
    </row>
    <row r="458">
      <c r="F458" s="3" t="s">
        <v>1381</v>
      </c>
    </row>
    <row r="459">
      <c r="F459" s="3" t="s">
        <v>1381</v>
      </c>
    </row>
    <row r="460">
      <c r="F460" s="3" t="s">
        <v>1381</v>
      </c>
    </row>
    <row r="461">
      <c r="F461" s="3" t="s">
        <v>1381</v>
      </c>
    </row>
    <row r="462">
      <c r="F462" s="3" t="s">
        <v>1381</v>
      </c>
    </row>
    <row r="463">
      <c r="F463" s="3" t="s">
        <v>1381</v>
      </c>
    </row>
    <row r="464">
      <c r="F464" s="3" t="s">
        <v>1381</v>
      </c>
    </row>
    <row r="465">
      <c r="F465" s="3" t="s">
        <v>1381</v>
      </c>
    </row>
    <row r="466">
      <c r="F466" s="3" t="s">
        <v>1381</v>
      </c>
    </row>
    <row r="467">
      <c r="F467" s="3" t="s">
        <v>1381</v>
      </c>
    </row>
    <row r="468">
      <c r="F468" s="3" t="s">
        <v>1381</v>
      </c>
    </row>
    <row r="469">
      <c r="F469" s="3" t="s">
        <v>1381</v>
      </c>
    </row>
    <row r="470">
      <c r="F470" s="3" t="s">
        <v>1381</v>
      </c>
    </row>
    <row r="471">
      <c r="F471" s="3" t="s">
        <v>1381</v>
      </c>
    </row>
    <row r="472">
      <c r="F472" s="3" t="s">
        <v>1381</v>
      </c>
    </row>
    <row r="473">
      <c r="F473" s="3" t="s">
        <v>1381</v>
      </c>
    </row>
    <row r="474">
      <c r="F474" s="3" t="s">
        <v>1381</v>
      </c>
    </row>
    <row r="475">
      <c r="F475" s="3" t="s">
        <v>1381</v>
      </c>
    </row>
    <row r="476">
      <c r="F476" s="3" t="s">
        <v>1381</v>
      </c>
    </row>
    <row r="477">
      <c r="F477" s="3" t="s">
        <v>1381</v>
      </c>
    </row>
    <row r="478">
      <c r="F478" s="3" t="s">
        <v>1381</v>
      </c>
    </row>
    <row r="479">
      <c r="F479" s="3" t="s">
        <v>1381</v>
      </c>
    </row>
    <row r="480">
      <c r="F480" s="3" t="s">
        <v>1381</v>
      </c>
    </row>
    <row r="481">
      <c r="F481" s="3" t="s">
        <v>1381</v>
      </c>
    </row>
    <row r="482">
      <c r="F482" s="3" t="s">
        <v>1381</v>
      </c>
    </row>
    <row r="483">
      <c r="F483" s="3" t="s">
        <v>1381</v>
      </c>
    </row>
    <row r="484">
      <c r="F484" s="3" t="s">
        <v>1381</v>
      </c>
    </row>
    <row r="485">
      <c r="F485" s="3" t="s">
        <v>1381</v>
      </c>
    </row>
    <row r="486">
      <c r="F486" s="3" t="s">
        <v>1381</v>
      </c>
    </row>
    <row r="487">
      <c r="F487" s="3" t="s">
        <v>1381</v>
      </c>
    </row>
    <row r="488">
      <c r="F488" s="3" t="s">
        <v>1381</v>
      </c>
    </row>
    <row r="489">
      <c r="F489" s="3" t="s">
        <v>1381</v>
      </c>
    </row>
    <row r="490">
      <c r="F490" s="3" t="s">
        <v>1381</v>
      </c>
    </row>
    <row r="491">
      <c r="F491" s="3" t="s">
        <v>1381</v>
      </c>
    </row>
    <row r="492">
      <c r="F492" s="3" t="s">
        <v>1381</v>
      </c>
    </row>
    <row r="493">
      <c r="F493" s="3" t="s">
        <v>1381</v>
      </c>
    </row>
    <row r="494">
      <c r="F494" s="3" t="s">
        <v>1381</v>
      </c>
    </row>
    <row r="495">
      <c r="F495" s="3" t="s">
        <v>1381</v>
      </c>
    </row>
    <row r="496">
      <c r="F496" s="3" t="s">
        <v>1381</v>
      </c>
    </row>
    <row r="497">
      <c r="F497" s="3" t="s">
        <v>1381</v>
      </c>
    </row>
    <row r="498">
      <c r="F498" s="3" t="s">
        <v>1381</v>
      </c>
    </row>
    <row r="499">
      <c r="F499" s="3" t="s">
        <v>1381</v>
      </c>
    </row>
    <row r="500">
      <c r="F500" s="3" t="s">
        <v>1381</v>
      </c>
    </row>
    <row r="501">
      <c r="F501" s="3" t="s">
        <v>1381</v>
      </c>
    </row>
    <row r="502">
      <c r="F502" s="3" t="s">
        <v>1381</v>
      </c>
    </row>
    <row r="503">
      <c r="F503" s="3" t="s">
        <v>1381</v>
      </c>
    </row>
    <row r="504">
      <c r="F504" s="3" t="s">
        <v>1381</v>
      </c>
    </row>
    <row r="505">
      <c r="F505" s="3" t="s">
        <v>1381</v>
      </c>
    </row>
    <row r="506">
      <c r="F506" s="3" t="s">
        <v>1381</v>
      </c>
    </row>
    <row r="507">
      <c r="F507" s="3" t="s">
        <v>1381</v>
      </c>
    </row>
    <row r="508">
      <c r="F508" s="3" t="s">
        <v>1381</v>
      </c>
    </row>
    <row r="509">
      <c r="F509" s="3" t="s">
        <v>1381</v>
      </c>
    </row>
    <row r="510">
      <c r="F510" s="3" t="s">
        <v>1381</v>
      </c>
    </row>
    <row r="511">
      <c r="F511" s="3" t="s">
        <v>1381</v>
      </c>
    </row>
    <row r="512">
      <c r="F512" s="3" t="s">
        <v>1381</v>
      </c>
    </row>
    <row r="513">
      <c r="F513" s="3" t="s">
        <v>1381</v>
      </c>
    </row>
    <row r="514">
      <c r="F514" s="3" t="s">
        <v>1381</v>
      </c>
    </row>
    <row r="515">
      <c r="F515" s="3" t="s">
        <v>1381</v>
      </c>
    </row>
    <row r="516">
      <c r="F516" s="3" t="s">
        <v>1381</v>
      </c>
    </row>
    <row r="517">
      <c r="F517" s="3" t="s">
        <v>1381</v>
      </c>
    </row>
    <row r="518">
      <c r="F518" s="3" t="s">
        <v>1381</v>
      </c>
    </row>
    <row r="519">
      <c r="F519" s="3" t="s">
        <v>1381</v>
      </c>
    </row>
    <row r="520">
      <c r="F520" s="3" t="s">
        <v>1381</v>
      </c>
    </row>
    <row r="521">
      <c r="F521" s="3" t="s">
        <v>1381</v>
      </c>
    </row>
    <row r="522">
      <c r="F522" s="3" t="s">
        <v>1381</v>
      </c>
    </row>
    <row r="523">
      <c r="F523" s="3" t="s">
        <v>1381</v>
      </c>
    </row>
    <row r="524">
      <c r="F524" s="3" t="s">
        <v>1381</v>
      </c>
    </row>
    <row r="525">
      <c r="F525" s="3" t="s">
        <v>1381</v>
      </c>
    </row>
    <row r="526">
      <c r="F526" s="3" t="s">
        <v>1381</v>
      </c>
    </row>
    <row r="527">
      <c r="F527" s="3" t="s">
        <v>1381</v>
      </c>
    </row>
    <row r="528">
      <c r="F528" s="3" t="s">
        <v>1381</v>
      </c>
    </row>
    <row r="529">
      <c r="F529" s="3" t="s">
        <v>1381</v>
      </c>
    </row>
    <row r="530">
      <c r="F530" s="3" t="s">
        <v>1381</v>
      </c>
    </row>
    <row r="531">
      <c r="F531" s="3" t="s">
        <v>1381</v>
      </c>
    </row>
    <row r="532">
      <c r="F532" s="3" t="s">
        <v>1381</v>
      </c>
    </row>
    <row r="533">
      <c r="F533" s="3" t="s">
        <v>1381</v>
      </c>
    </row>
    <row r="534">
      <c r="F534" s="3" t="s">
        <v>1381</v>
      </c>
    </row>
    <row r="535">
      <c r="F535" s="3" t="s">
        <v>1381</v>
      </c>
    </row>
    <row r="536">
      <c r="F536" s="3" t="s">
        <v>1381</v>
      </c>
    </row>
    <row r="537">
      <c r="F537" s="3" t="s">
        <v>1381</v>
      </c>
    </row>
    <row r="538">
      <c r="F538" s="3" t="s">
        <v>1381</v>
      </c>
    </row>
    <row r="539">
      <c r="F539" s="3" t="s">
        <v>1381</v>
      </c>
    </row>
    <row r="540">
      <c r="F540" s="3" t="s">
        <v>1381</v>
      </c>
    </row>
    <row r="541">
      <c r="F541" s="3" t="s">
        <v>1381</v>
      </c>
    </row>
    <row r="542">
      <c r="F542" s="3" t="s">
        <v>1381</v>
      </c>
    </row>
    <row r="543">
      <c r="F543" s="3" t="s">
        <v>1381</v>
      </c>
    </row>
    <row r="544">
      <c r="F544" s="3" t="s">
        <v>1381</v>
      </c>
    </row>
    <row r="545">
      <c r="F545" s="3" t="s">
        <v>1381</v>
      </c>
    </row>
    <row r="546">
      <c r="F546" s="3" t="s">
        <v>1381</v>
      </c>
    </row>
    <row r="547">
      <c r="F547" s="3" t="s">
        <v>1381</v>
      </c>
    </row>
    <row r="548">
      <c r="F548" s="3" t="s">
        <v>1381</v>
      </c>
    </row>
    <row r="549">
      <c r="F549" s="3" t="s">
        <v>1381</v>
      </c>
    </row>
    <row r="550">
      <c r="F550" s="3" t="s">
        <v>1381</v>
      </c>
    </row>
    <row r="551">
      <c r="F551" s="3" t="s">
        <v>1381</v>
      </c>
    </row>
    <row r="552">
      <c r="F552" s="3" t="s">
        <v>1381</v>
      </c>
    </row>
    <row r="553">
      <c r="F553" s="3" t="s">
        <v>1381</v>
      </c>
    </row>
    <row r="554">
      <c r="F554" s="3" t="s">
        <v>1381</v>
      </c>
    </row>
    <row r="555">
      <c r="F555" s="3" t="s">
        <v>1381</v>
      </c>
    </row>
    <row r="556">
      <c r="F556" s="3" t="s">
        <v>1381</v>
      </c>
    </row>
    <row r="557">
      <c r="F557" s="3" t="s">
        <v>1381</v>
      </c>
    </row>
    <row r="558">
      <c r="F558" s="3" t="s">
        <v>1381</v>
      </c>
    </row>
    <row r="559">
      <c r="F559" s="3" t="s">
        <v>1381</v>
      </c>
    </row>
    <row r="560">
      <c r="F560" s="3" t="s">
        <v>1381</v>
      </c>
    </row>
    <row r="561">
      <c r="F561" s="3" t="s">
        <v>1381</v>
      </c>
    </row>
    <row r="562">
      <c r="F562" s="3" t="s">
        <v>1381</v>
      </c>
    </row>
    <row r="563">
      <c r="F563" s="3" t="s">
        <v>1381</v>
      </c>
    </row>
    <row r="564">
      <c r="F564" s="3" t="s">
        <v>1381</v>
      </c>
    </row>
    <row r="565">
      <c r="F565" s="3" t="s">
        <v>1381</v>
      </c>
    </row>
    <row r="566">
      <c r="F566" s="3" t="s">
        <v>1381</v>
      </c>
    </row>
    <row r="567">
      <c r="F567" s="3" t="s">
        <v>1381</v>
      </c>
    </row>
    <row r="568">
      <c r="F568" s="3" t="s">
        <v>1381</v>
      </c>
    </row>
    <row r="569">
      <c r="F569" s="3" t="s">
        <v>1381</v>
      </c>
    </row>
    <row r="570">
      <c r="F570" s="3" t="s">
        <v>1381</v>
      </c>
    </row>
    <row r="571">
      <c r="F571" s="3" t="s">
        <v>1381</v>
      </c>
    </row>
    <row r="572">
      <c r="F572" s="3" t="s">
        <v>1381</v>
      </c>
    </row>
    <row r="573">
      <c r="F573" s="3" t="s">
        <v>1381</v>
      </c>
    </row>
    <row r="574">
      <c r="F574" s="3" t="s">
        <v>1381</v>
      </c>
    </row>
    <row r="575">
      <c r="F575" s="3" t="s">
        <v>1381</v>
      </c>
    </row>
    <row r="576">
      <c r="F576" s="3" t="s">
        <v>1381</v>
      </c>
    </row>
    <row r="577">
      <c r="F577" s="3" t="s">
        <v>1381</v>
      </c>
    </row>
    <row r="578">
      <c r="F578" s="3" t="s">
        <v>1381</v>
      </c>
    </row>
    <row r="579">
      <c r="F579" s="3" t="s">
        <v>1381</v>
      </c>
    </row>
    <row r="580">
      <c r="F580" s="3" t="s">
        <v>1381</v>
      </c>
    </row>
    <row r="581">
      <c r="F581" s="3" t="s">
        <v>1381</v>
      </c>
    </row>
    <row r="582">
      <c r="F582" s="3" t="s">
        <v>1381</v>
      </c>
    </row>
    <row r="583">
      <c r="F583" s="3" t="s">
        <v>1381</v>
      </c>
    </row>
    <row r="584">
      <c r="F584" s="3" t="s">
        <v>1381</v>
      </c>
    </row>
    <row r="585">
      <c r="F585" s="3" t="s">
        <v>1381</v>
      </c>
    </row>
    <row r="586">
      <c r="F586" s="3" t="s">
        <v>1381</v>
      </c>
    </row>
    <row r="587">
      <c r="F587" s="3" t="s">
        <v>1381</v>
      </c>
    </row>
    <row r="588">
      <c r="F588" s="3" t="s">
        <v>1381</v>
      </c>
    </row>
    <row r="589">
      <c r="F589" s="3" t="s">
        <v>1381</v>
      </c>
    </row>
    <row r="590">
      <c r="F590" s="3" t="s">
        <v>1381</v>
      </c>
    </row>
    <row r="591">
      <c r="F591" s="3" t="s">
        <v>1381</v>
      </c>
    </row>
    <row r="592">
      <c r="F592" s="3" t="s">
        <v>1381</v>
      </c>
    </row>
    <row r="593">
      <c r="F593" s="3" t="s">
        <v>1381</v>
      </c>
    </row>
    <row r="594">
      <c r="F594" s="3" t="s">
        <v>1381</v>
      </c>
    </row>
    <row r="595">
      <c r="F595" s="3" t="s">
        <v>1381</v>
      </c>
    </row>
    <row r="596">
      <c r="F596" s="3" t="s">
        <v>1381</v>
      </c>
    </row>
    <row r="597">
      <c r="F597" s="3" t="s">
        <v>1381</v>
      </c>
    </row>
    <row r="598">
      <c r="F598" s="3" t="s">
        <v>1381</v>
      </c>
    </row>
    <row r="599">
      <c r="F599" s="3" t="s">
        <v>1381</v>
      </c>
    </row>
    <row r="600">
      <c r="F600" s="3" t="s">
        <v>1381</v>
      </c>
    </row>
    <row r="601">
      <c r="F601" s="3" t="s">
        <v>1381</v>
      </c>
    </row>
    <row r="602">
      <c r="F602" s="3" t="s">
        <v>1381</v>
      </c>
    </row>
    <row r="603">
      <c r="F603" s="3" t="s">
        <v>1381</v>
      </c>
    </row>
    <row r="604">
      <c r="F604" s="3" t="s">
        <v>1381</v>
      </c>
    </row>
    <row r="605">
      <c r="F605" s="3" t="s">
        <v>1381</v>
      </c>
    </row>
    <row r="606">
      <c r="F606" s="3" t="s">
        <v>1381</v>
      </c>
    </row>
    <row r="607">
      <c r="F607" s="3" t="s">
        <v>1381</v>
      </c>
    </row>
    <row r="608">
      <c r="F608" s="3" t="s">
        <v>1381</v>
      </c>
    </row>
    <row r="609">
      <c r="F609" s="3" t="s">
        <v>1381</v>
      </c>
    </row>
    <row r="610">
      <c r="F610" s="3" t="s">
        <v>1381</v>
      </c>
    </row>
    <row r="611">
      <c r="F611" s="3" t="s">
        <v>1381</v>
      </c>
    </row>
    <row r="612">
      <c r="F612" s="3" t="s">
        <v>1381</v>
      </c>
    </row>
    <row r="613">
      <c r="F613" s="3" t="s">
        <v>1381</v>
      </c>
    </row>
    <row r="614">
      <c r="F614" s="3" t="s">
        <v>1381</v>
      </c>
    </row>
    <row r="615">
      <c r="F615" s="3" t="s">
        <v>1381</v>
      </c>
    </row>
    <row r="616">
      <c r="F616" s="3" t="s">
        <v>1381</v>
      </c>
    </row>
    <row r="617">
      <c r="F617" s="3" t="s">
        <v>1381</v>
      </c>
    </row>
    <row r="618">
      <c r="F618" s="3" t="s">
        <v>1381</v>
      </c>
    </row>
    <row r="619">
      <c r="F619" s="3" t="s">
        <v>1381</v>
      </c>
    </row>
    <row r="620">
      <c r="F620" s="3" t="s">
        <v>1381</v>
      </c>
    </row>
    <row r="621">
      <c r="F621" s="3" t="s">
        <v>1381</v>
      </c>
    </row>
    <row r="622">
      <c r="F622" s="3" t="s">
        <v>1381</v>
      </c>
    </row>
    <row r="623">
      <c r="F623" s="3" t="s">
        <v>1381</v>
      </c>
    </row>
    <row r="624">
      <c r="F624" s="3" t="s">
        <v>1381</v>
      </c>
    </row>
    <row r="625">
      <c r="F625" s="3" t="s">
        <v>1381</v>
      </c>
    </row>
    <row r="626">
      <c r="F626" s="3" t="s">
        <v>1381</v>
      </c>
    </row>
    <row r="627">
      <c r="F627" s="3" t="s">
        <v>1381</v>
      </c>
    </row>
    <row r="628">
      <c r="F628" s="3" t="s">
        <v>1381</v>
      </c>
    </row>
    <row r="629">
      <c r="F629" s="3" t="s">
        <v>1381</v>
      </c>
    </row>
    <row r="630">
      <c r="F630" s="3" t="s">
        <v>1381</v>
      </c>
    </row>
    <row r="631">
      <c r="F631" s="3" t="s">
        <v>1381</v>
      </c>
    </row>
    <row r="632">
      <c r="F632" s="3" t="s">
        <v>1381</v>
      </c>
    </row>
    <row r="633">
      <c r="F633" s="3" t="s">
        <v>1381</v>
      </c>
    </row>
    <row r="634">
      <c r="F634" s="3" t="s">
        <v>1381</v>
      </c>
    </row>
    <row r="635">
      <c r="F635" s="3" t="s">
        <v>1381</v>
      </c>
    </row>
    <row r="636">
      <c r="F636" s="3" t="s">
        <v>1381</v>
      </c>
    </row>
    <row r="637">
      <c r="F637" s="3" t="s">
        <v>1381</v>
      </c>
    </row>
    <row r="638">
      <c r="F638" s="3" t="s">
        <v>1381</v>
      </c>
    </row>
    <row r="639">
      <c r="F639" s="3" t="s">
        <v>1381</v>
      </c>
    </row>
    <row r="640">
      <c r="F640" s="3" t="s">
        <v>1381</v>
      </c>
    </row>
    <row r="641">
      <c r="F641" s="3" t="s">
        <v>1381</v>
      </c>
    </row>
    <row r="642">
      <c r="F642" s="3" t="s">
        <v>1381</v>
      </c>
    </row>
    <row r="643">
      <c r="F643" s="3" t="s">
        <v>1381</v>
      </c>
    </row>
    <row r="644">
      <c r="F644" s="3" t="s">
        <v>1381</v>
      </c>
    </row>
    <row r="645">
      <c r="F645" s="3" t="s">
        <v>1381</v>
      </c>
    </row>
    <row r="646">
      <c r="F646" s="3" t="s">
        <v>1381</v>
      </c>
    </row>
    <row r="647">
      <c r="F647" s="3" t="s">
        <v>1381</v>
      </c>
    </row>
    <row r="648">
      <c r="F648" s="3" t="s">
        <v>1381</v>
      </c>
    </row>
    <row r="649">
      <c r="F649" s="3" t="s">
        <v>1381</v>
      </c>
    </row>
    <row r="650">
      <c r="F650" s="3" t="s">
        <v>1381</v>
      </c>
    </row>
    <row r="651">
      <c r="F651" s="3" t="s">
        <v>1381</v>
      </c>
    </row>
    <row r="652">
      <c r="F652" s="3" t="s">
        <v>1381</v>
      </c>
    </row>
    <row r="653">
      <c r="F653" s="3" t="s">
        <v>1381</v>
      </c>
    </row>
    <row r="654">
      <c r="F654" s="3" t="s">
        <v>1381</v>
      </c>
    </row>
    <row r="655">
      <c r="F655" s="3" t="s">
        <v>1381</v>
      </c>
    </row>
    <row r="656">
      <c r="F656" s="3" t="s">
        <v>1381</v>
      </c>
    </row>
    <row r="657">
      <c r="F657" s="3" t="s">
        <v>1381</v>
      </c>
    </row>
    <row r="658">
      <c r="F658" s="3" t="s">
        <v>1381</v>
      </c>
    </row>
    <row r="659">
      <c r="F659" s="3" t="s">
        <v>1381</v>
      </c>
    </row>
    <row r="660">
      <c r="F660" s="3" t="s">
        <v>1381</v>
      </c>
    </row>
    <row r="661">
      <c r="F661" s="3" t="s">
        <v>1381</v>
      </c>
    </row>
    <row r="662">
      <c r="F662" s="3" t="s">
        <v>1381</v>
      </c>
    </row>
    <row r="663">
      <c r="F663" s="3" t="s">
        <v>1381</v>
      </c>
    </row>
    <row r="664">
      <c r="F664" s="3" t="s">
        <v>1381</v>
      </c>
    </row>
    <row r="665">
      <c r="F665" s="3" t="s">
        <v>1381</v>
      </c>
    </row>
    <row r="666">
      <c r="F666" s="3" t="s">
        <v>1381</v>
      </c>
    </row>
    <row r="667">
      <c r="F667" s="3" t="s">
        <v>1381</v>
      </c>
    </row>
    <row r="668">
      <c r="F668" s="3" t="s">
        <v>1381</v>
      </c>
    </row>
    <row r="669">
      <c r="F669" s="3" t="s">
        <v>1381</v>
      </c>
    </row>
    <row r="670">
      <c r="F670" s="3" t="s">
        <v>1381</v>
      </c>
    </row>
    <row r="671">
      <c r="F671" s="3" t="s">
        <v>1381</v>
      </c>
    </row>
    <row r="672">
      <c r="F672" s="3" t="s">
        <v>1381</v>
      </c>
    </row>
    <row r="673">
      <c r="F673" s="3" t="s">
        <v>1381</v>
      </c>
    </row>
    <row r="674">
      <c r="F674" s="3" t="s">
        <v>1381</v>
      </c>
    </row>
    <row r="675">
      <c r="F675" s="3" t="s">
        <v>1381</v>
      </c>
    </row>
    <row r="676">
      <c r="F676" s="3" t="s">
        <v>1381</v>
      </c>
    </row>
    <row r="677">
      <c r="F677" s="3" t="s">
        <v>1381</v>
      </c>
    </row>
    <row r="678">
      <c r="F678" s="3" t="s">
        <v>1381</v>
      </c>
    </row>
    <row r="679">
      <c r="F679" s="3" t="s">
        <v>1381</v>
      </c>
    </row>
    <row r="680">
      <c r="F680" s="3" t="s">
        <v>1381</v>
      </c>
    </row>
    <row r="681">
      <c r="F681" s="3" t="s">
        <v>1381</v>
      </c>
    </row>
    <row r="682">
      <c r="F682" s="3" t="s">
        <v>1381</v>
      </c>
    </row>
    <row r="683">
      <c r="F683" s="3" t="s">
        <v>1381</v>
      </c>
    </row>
    <row r="684">
      <c r="F684" s="3" t="s">
        <v>1381</v>
      </c>
    </row>
    <row r="685">
      <c r="F685" s="3" t="s">
        <v>1381</v>
      </c>
    </row>
    <row r="686">
      <c r="F686" s="3" t="s">
        <v>1381</v>
      </c>
    </row>
    <row r="687">
      <c r="F687" s="3" t="s">
        <v>1381</v>
      </c>
    </row>
    <row r="688">
      <c r="F688" s="3" t="s">
        <v>1381</v>
      </c>
    </row>
    <row r="689">
      <c r="F689" s="3" t="s">
        <v>1381</v>
      </c>
    </row>
    <row r="690">
      <c r="F690" s="3" t="s">
        <v>1381</v>
      </c>
    </row>
    <row r="691">
      <c r="F691" s="3" t="s">
        <v>1381</v>
      </c>
    </row>
    <row r="692">
      <c r="F692" s="3" t="s">
        <v>1381</v>
      </c>
    </row>
    <row r="693">
      <c r="F693" s="3" t="s">
        <v>1381</v>
      </c>
    </row>
    <row r="694">
      <c r="F694" s="3" t="s">
        <v>1381</v>
      </c>
    </row>
    <row r="695">
      <c r="F695" s="3" t="s">
        <v>1381</v>
      </c>
    </row>
    <row r="696">
      <c r="F696" s="3" t="s">
        <v>1381</v>
      </c>
    </row>
    <row r="697">
      <c r="F697" s="3" t="s">
        <v>1381</v>
      </c>
    </row>
    <row r="698">
      <c r="F698" s="3" t="s">
        <v>1381</v>
      </c>
    </row>
    <row r="699">
      <c r="F699" s="3" t="s">
        <v>1381</v>
      </c>
    </row>
    <row r="700">
      <c r="F700" s="3" t="s">
        <v>1381</v>
      </c>
    </row>
    <row r="701">
      <c r="F701" s="3" t="s">
        <v>1381</v>
      </c>
    </row>
    <row r="702">
      <c r="F702" s="3" t="s">
        <v>1381</v>
      </c>
    </row>
    <row r="703">
      <c r="F703" s="3" t="s">
        <v>1381</v>
      </c>
    </row>
    <row r="704">
      <c r="F704" s="3" t="s">
        <v>1381</v>
      </c>
    </row>
    <row r="705">
      <c r="F705" s="3" t="s">
        <v>1381</v>
      </c>
    </row>
    <row r="706">
      <c r="F706" s="3" t="s">
        <v>1381</v>
      </c>
    </row>
    <row r="707">
      <c r="F707" s="3" t="s">
        <v>1381</v>
      </c>
    </row>
    <row r="708">
      <c r="F708" s="3" t="s">
        <v>1381</v>
      </c>
    </row>
    <row r="709">
      <c r="F709" s="3" t="s">
        <v>1381</v>
      </c>
    </row>
    <row r="710">
      <c r="F710" s="3" t="s">
        <v>1381</v>
      </c>
    </row>
    <row r="711">
      <c r="F711" s="3" t="s">
        <v>1381</v>
      </c>
    </row>
    <row r="712">
      <c r="F712" s="3" t="s">
        <v>1381</v>
      </c>
    </row>
    <row r="713">
      <c r="F713" s="3" t="s">
        <v>1381</v>
      </c>
    </row>
    <row r="714">
      <c r="F714" s="3" t="s">
        <v>1381</v>
      </c>
    </row>
    <row r="715">
      <c r="F715" s="3" t="s">
        <v>1381</v>
      </c>
    </row>
    <row r="716">
      <c r="F716" s="3" t="s">
        <v>1381</v>
      </c>
    </row>
    <row r="717">
      <c r="F717" s="3" t="s">
        <v>1381</v>
      </c>
    </row>
    <row r="718">
      <c r="F718" s="3" t="s">
        <v>1381</v>
      </c>
    </row>
    <row r="719">
      <c r="F719" s="3" t="s">
        <v>1381</v>
      </c>
    </row>
    <row r="720">
      <c r="F720" s="3" t="s">
        <v>1381</v>
      </c>
    </row>
    <row r="721">
      <c r="F721" s="3" t="s">
        <v>1381</v>
      </c>
    </row>
    <row r="722">
      <c r="F722" s="3" t="s">
        <v>1381</v>
      </c>
    </row>
    <row r="723">
      <c r="F723" s="3" t="s">
        <v>1381</v>
      </c>
    </row>
    <row r="724">
      <c r="F724" s="3" t="s">
        <v>1381</v>
      </c>
    </row>
    <row r="725">
      <c r="F725" s="3" t="s">
        <v>1381</v>
      </c>
    </row>
    <row r="726">
      <c r="F726" s="3" t="s">
        <v>1381</v>
      </c>
    </row>
    <row r="727">
      <c r="F727" s="3" t="s">
        <v>1381</v>
      </c>
    </row>
    <row r="728">
      <c r="F728" s="3" t="s">
        <v>1381</v>
      </c>
    </row>
    <row r="729">
      <c r="F729" s="3" t="s">
        <v>1381</v>
      </c>
    </row>
    <row r="730">
      <c r="F730" s="3" t="s">
        <v>1381</v>
      </c>
    </row>
    <row r="731">
      <c r="F731" s="3" t="s">
        <v>1381</v>
      </c>
    </row>
    <row r="732">
      <c r="F732" s="3" t="s">
        <v>1381</v>
      </c>
    </row>
    <row r="733">
      <c r="F733" s="3" t="s">
        <v>1381</v>
      </c>
    </row>
    <row r="734">
      <c r="F734" s="3" t="s">
        <v>1381</v>
      </c>
    </row>
    <row r="735">
      <c r="F735" s="3" t="s">
        <v>1381</v>
      </c>
    </row>
    <row r="736">
      <c r="F736" s="3" t="s">
        <v>1381</v>
      </c>
    </row>
    <row r="737">
      <c r="F737" s="3" t="s">
        <v>1381</v>
      </c>
    </row>
    <row r="738">
      <c r="F738" s="3" t="s">
        <v>1381</v>
      </c>
    </row>
    <row r="739">
      <c r="F739" s="3" t="s">
        <v>1381</v>
      </c>
    </row>
    <row r="740">
      <c r="F740" s="3" t="s">
        <v>1381</v>
      </c>
    </row>
    <row r="741">
      <c r="F741" s="3" t="s">
        <v>1381</v>
      </c>
    </row>
    <row r="742">
      <c r="F742" s="3" t="s">
        <v>1381</v>
      </c>
    </row>
    <row r="743">
      <c r="F743" s="3" t="s">
        <v>1381</v>
      </c>
    </row>
    <row r="744">
      <c r="F744" s="3" t="s">
        <v>1381</v>
      </c>
    </row>
    <row r="745">
      <c r="F745" s="3" t="s">
        <v>1381</v>
      </c>
    </row>
    <row r="746">
      <c r="F746" s="3" t="s">
        <v>1381</v>
      </c>
    </row>
    <row r="747">
      <c r="F747" s="3" t="s">
        <v>1381</v>
      </c>
    </row>
    <row r="748">
      <c r="F748" s="3" t="s">
        <v>1381</v>
      </c>
    </row>
    <row r="749">
      <c r="F749" s="3" t="s">
        <v>1381</v>
      </c>
    </row>
    <row r="750">
      <c r="F750" s="3" t="s">
        <v>1381</v>
      </c>
    </row>
    <row r="751">
      <c r="F751" s="3" t="s">
        <v>1381</v>
      </c>
    </row>
    <row r="752">
      <c r="F752" s="3" t="s">
        <v>1381</v>
      </c>
    </row>
    <row r="753">
      <c r="F753" s="3" t="s">
        <v>1381</v>
      </c>
    </row>
    <row r="754">
      <c r="F754" s="3" t="s">
        <v>1381</v>
      </c>
    </row>
    <row r="755">
      <c r="F755" s="3" t="s">
        <v>1381</v>
      </c>
    </row>
    <row r="756">
      <c r="F756" s="3" t="s">
        <v>1381</v>
      </c>
    </row>
    <row r="757">
      <c r="F757" s="3" t="s">
        <v>1381</v>
      </c>
    </row>
    <row r="758">
      <c r="F758" s="3" t="s">
        <v>1381</v>
      </c>
    </row>
    <row r="759">
      <c r="F759" s="3" t="s">
        <v>1381</v>
      </c>
    </row>
    <row r="760">
      <c r="F760" s="3" t="s">
        <v>1381</v>
      </c>
    </row>
    <row r="761">
      <c r="F761" s="3" t="s">
        <v>1381</v>
      </c>
    </row>
    <row r="762">
      <c r="F762" s="3" t="s">
        <v>1381</v>
      </c>
    </row>
    <row r="763">
      <c r="F763" s="3" t="s">
        <v>1381</v>
      </c>
    </row>
    <row r="764">
      <c r="F764" s="3" t="s">
        <v>1381</v>
      </c>
    </row>
    <row r="765">
      <c r="F765" s="3" t="s">
        <v>1381</v>
      </c>
    </row>
    <row r="766">
      <c r="F766" s="3" t="s">
        <v>1381</v>
      </c>
    </row>
    <row r="767">
      <c r="F767" s="3" t="s">
        <v>1381</v>
      </c>
    </row>
    <row r="768">
      <c r="F768" s="3" t="s">
        <v>1381</v>
      </c>
    </row>
    <row r="769">
      <c r="F769" s="3" t="s">
        <v>1381</v>
      </c>
    </row>
    <row r="770">
      <c r="F770" s="3" t="s">
        <v>1381</v>
      </c>
    </row>
    <row r="771">
      <c r="F771" s="3" t="s">
        <v>1381</v>
      </c>
    </row>
    <row r="772">
      <c r="F772" s="3" t="s">
        <v>1381</v>
      </c>
    </row>
    <row r="773">
      <c r="F773" s="3" t="s">
        <v>1381</v>
      </c>
    </row>
    <row r="774">
      <c r="F774" s="3" t="s">
        <v>1381</v>
      </c>
    </row>
    <row r="775">
      <c r="F775" s="3" t="s">
        <v>1381</v>
      </c>
    </row>
    <row r="776">
      <c r="F776" s="3" t="s">
        <v>1381</v>
      </c>
    </row>
    <row r="777">
      <c r="F777" s="3" t="s">
        <v>1381</v>
      </c>
    </row>
    <row r="778">
      <c r="F778" s="3" t="s">
        <v>1381</v>
      </c>
    </row>
    <row r="779">
      <c r="F779" s="3" t="s">
        <v>1381</v>
      </c>
    </row>
    <row r="780">
      <c r="F780" s="3" t="s">
        <v>1381</v>
      </c>
    </row>
    <row r="781">
      <c r="F781" s="3" t="s">
        <v>1381</v>
      </c>
    </row>
    <row r="782">
      <c r="F782" s="3" t="s">
        <v>1381</v>
      </c>
    </row>
    <row r="783">
      <c r="F783" s="3" t="s">
        <v>1381</v>
      </c>
    </row>
    <row r="784">
      <c r="F784" s="3" t="s">
        <v>1381</v>
      </c>
    </row>
    <row r="785">
      <c r="F785" s="3" t="s">
        <v>1381</v>
      </c>
    </row>
    <row r="786">
      <c r="F786" s="3" t="s">
        <v>1381</v>
      </c>
    </row>
    <row r="787">
      <c r="F787" s="3" t="s">
        <v>1381</v>
      </c>
    </row>
    <row r="788">
      <c r="F788" s="3" t="s">
        <v>1381</v>
      </c>
    </row>
    <row r="789">
      <c r="F789" s="3" t="s">
        <v>1381</v>
      </c>
    </row>
    <row r="790">
      <c r="F790" s="3" t="s">
        <v>1381</v>
      </c>
    </row>
    <row r="791">
      <c r="F791" s="3" t="s">
        <v>1381</v>
      </c>
    </row>
    <row r="792">
      <c r="F792" s="3" t="s">
        <v>1381</v>
      </c>
    </row>
    <row r="793">
      <c r="F793" s="3" t="s">
        <v>1381</v>
      </c>
    </row>
    <row r="794">
      <c r="F794" s="3" t="s">
        <v>1381</v>
      </c>
    </row>
    <row r="795">
      <c r="F795" s="3" t="s">
        <v>1381</v>
      </c>
    </row>
    <row r="796">
      <c r="F796" s="3" t="s">
        <v>1381</v>
      </c>
    </row>
    <row r="797">
      <c r="F797" s="3" t="s">
        <v>1381</v>
      </c>
    </row>
    <row r="798">
      <c r="F798" s="3" t="s">
        <v>1381</v>
      </c>
    </row>
    <row r="799">
      <c r="F799" s="3" t="s">
        <v>1381</v>
      </c>
    </row>
    <row r="800">
      <c r="F800" s="3" t="s">
        <v>1381</v>
      </c>
    </row>
    <row r="801">
      <c r="F801" s="3" t="s">
        <v>1381</v>
      </c>
    </row>
    <row r="802">
      <c r="F802" s="3" t="s">
        <v>1381</v>
      </c>
    </row>
    <row r="803">
      <c r="F803" s="3" t="s">
        <v>1381</v>
      </c>
    </row>
    <row r="804">
      <c r="F804" s="3" t="s">
        <v>1381</v>
      </c>
    </row>
    <row r="805">
      <c r="F805" s="3" t="s">
        <v>1381</v>
      </c>
    </row>
    <row r="806">
      <c r="F806" s="3" t="s">
        <v>1381</v>
      </c>
    </row>
    <row r="807">
      <c r="F807" s="3" t="s">
        <v>1381</v>
      </c>
    </row>
    <row r="808">
      <c r="F808" s="3" t="s">
        <v>1381</v>
      </c>
    </row>
    <row r="809">
      <c r="F809" s="3" t="s">
        <v>1381</v>
      </c>
    </row>
    <row r="810">
      <c r="F810" s="3" t="s">
        <v>1381</v>
      </c>
    </row>
    <row r="811">
      <c r="F811" s="3" t="s">
        <v>1381</v>
      </c>
    </row>
    <row r="812">
      <c r="F812" s="3" t="s">
        <v>1381</v>
      </c>
    </row>
    <row r="813">
      <c r="F813" s="3" t="s">
        <v>1381</v>
      </c>
    </row>
    <row r="814">
      <c r="F814" s="3" t="s">
        <v>1381</v>
      </c>
    </row>
    <row r="815">
      <c r="F815" s="3" t="s">
        <v>1381</v>
      </c>
    </row>
    <row r="816">
      <c r="F816" s="3" t="s">
        <v>1381</v>
      </c>
    </row>
    <row r="817">
      <c r="F817" s="3" t="s">
        <v>1381</v>
      </c>
    </row>
    <row r="818">
      <c r="F818" s="3" t="s">
        <v>1381</v>
      </c>
    </row>
    <row r="819">
      <c r="F819" s="3" t="s">
        <v>1381</v>
      </c>
    </row>
    <row r="820">
      <c r="F820" s="3" t="s">
        <v>1381</v>
      </c>
    </row>
    <row r="821">
      <c r="F821" s="3" t="s">
        <v>1381</v>
      </c>
    </row>
    <row r="822">
      <c r="F822" s="3" t="s">
        <v>1381</v>
      </c>
    </row>
    <row r="823">
      <c r="F823" s="3" t="s">
        <v>1381</v>
      </c>
    </row>
    <row r="824">
      <c r="F824" s="3" t="s">
        <v>1381</v>
      </c>
    </row>
    <row r="825">
      <c r="F825" s="3" t="s">
        <v>1381</v>
      </c>
    </row>
    <row r="826">
      <c r="F826" s="3" t="s">
        <v>1381</v>
      </c>
    </row>
    <row r="827">
      <c r="F827" s="3" t="s">
        <v>1381</v>
      </c>
    </row>
    <row r="828">
      <c r="F828" s="3" t="s">
        <v>1381</v>
      </c>
    </row>
    <row r="829">
      <c r="F829" s="3" t="s">
        <v>1381</v>
      </c>
    </row>
    <row r="830">
      <c r="F830" s="3" t="s">
        <v>1381</v>
      </c>
    </row>
    <row r="831">
      <c r="F831" s="3" t="s">
        <v>1381</v>
      </c>
    </row>
    <row r="832">
      <c r="F832" s="3" t="s">
        <v>1381</v>
      </c>
    </row>
    <row r="833">
      <c r="F833" s="3" t="s">
        <v>1381</v>
      </c>
    </row>
    <row r="834">
      <c r="F834" s="3" t="s">
        <v>1381</v>
      </c>
    </row>
    <row r="835">
      <c r="F835" s="3" t="s">
        <v>1381</v>
      </c>
    </row>
    <row r="836">
      <c r="F836" s="3" t="s">
        <v>1381</v>
      </c>
    </row>
    <row r="837">
      <c r="F837" s="3" t="s">
        <v>1381</v>
      </c>
    </row>
    <row r="838">
      <c r="F838" s="3" t="s">
        <v>1381</v>
      </c>
    </row>
    <row r="839">
      <c r="F839" s="3" t="s">
        <v>1381</v>
      </c>
    </row>
    <row r="840">
      <c r="F840" s="3" t="s">
        <v>1381</v>
      </c>
    </row>
    <row r="841">
      <c r="F841" s="3" t="s">
        <v>1381</v>
      </c>
    </row>
    <row r="842">
      <c r="F842" s="3" t="s">
        <v>1381</v>
      </c>
    </row>
    <row r="843">
      <c r="F843" s="3" t="s">
        <v>1381</v>
      </c>
    </row>
    <row r="844">
      <c r="F844" s="3" t="s">
        <v>1381</v>
      </c>
    </row>
    <row r="845">
      <c r="F845" s="3" t="s">
        <v>1381</v>
      </c>
    </row>
    <row r="846">
      <c r="F846" s="3" t="s">
        <v>1381</v>
      </c>
    </row>
    <row r="847">
      <c r="F847" s="3" t="s">
        <v>1381</v>
      </c>
    </row>
    <row r="848">
      <c r="F848" s="3" t="s">
        <v>1381</v>
      </c>
    </row>
    <row r="849">
      <c r="F849" s="3" t="s">
        <v>1381</v>
      </c>
    </row>
    <row r="850">
      <c r="F850" s="3" t="s">
        <v>1381</v>
      </c>
    </row>
    <row r="851">
      <c r="F851" s="3" t="s">
        <v>1381</v>
      </c>
    </row>
    <row r="852">
      <c r="F852" s="3" t="s">
        <v>1381</v>
      </c>
    </row>
    <row r="853">
      <c r="F853" s="3" t="s">
        <v>1381</v>
      </c>
    </row>
    <row r="854">
      <c r="F854" s="3" t="s">
        <v>1381</v>
      </c>
    </row>
    <row r="855">
      <c r="F855" s="3" t="s">
        <v>1381</v>
      </c>
    </row>
    <row r="856">
      <c r="F856" s="3" t="s">
        <v>1381</v>
      </c>
    </row>
    <row r="857">
      <c r="F857" s="3" t="s">
        <v>1381</v>
      </c>
    </row>
    <row r="858">
      <c r="F858" s="3" t="s">
        <v>1381</v>
      </c>
    </row>
    <row r="859">
      <c r="F859" s="3" t="s">
        <v>1381</v>
      </c>
    </row>
    <row r="860">
      <c r="F860" s="3" t="s">
        <v>1381</v>
      </c>
    </row>
    <row r="861">
      <c r="F861" s="3" t="s">
        <v>1381</v>
      </c>
    </row>
    <row r="862">
      <c r="F862" s="3" t="s">
        <v>1381</v>
      </c>
    </row>
    <row r="863">
      <c r="F863" s="3" t="s">
        <v>1381</v>
      </c>
    </row>
    <row r="864">
      <c r="F864" s="3" t="s">
        <v>1381</v>
      </c>
    </row>
    <row r="865">
      <c r="F865" s="3" t="s">
        <v>1381</v>
      </c>
    </row>
    <row r="866">
      <c r="F866" s="3" t="s">
        <v>1381</v>
      </c>
    </row>
    <row r="867">
      <c r="F867" s="3" t="s">
        <v>1381</v>
      </c>
    </row>
    <row r="868">
      <c r="F868" s="3" t="s">
        <v>1381</v>
      </c>
    </row>
    <row r="869">
      <c r="F869" s="3" t="s">
        <v>1381</v>
      </c>
    </row>
    <row r="870">
      <c r="F870" s="3" t="s">
        <v>1381</v>
      </c>
    </row>
    <row r="871">
      <c r="F871" s="3" t="s">
        <v>1381</v>
      </c>
    </row>
    <row r="872">
      <c r="F872" s="3" t="s">
        <v>1381</v>
      </c>
    </row>
    <row r="873">
      <c r="F873" s="3" t="s">
        <v>1381</v>
      </c>
    </row>
    <row r="874">
      <c r="F874" s="3" t="s">
        <v>1381</v>
      </c>
    </row>
    <row r="875">
      <c r="F875" s="3" t="s">
        <v>1381</v>
      </c>
    </row>
    <row r="876">
      <c r="F876" s="3" t="s">
        <v>1381</v>
      </c>
    </row>
    <row r="877">
      <c r="F877" s="3" t="s">
        <v>1381</v>
      </c>
    </row>
    <row r="878">
      <c r="F878" s="3" t="s">
        <v>1381</v>
      </c>
    </row>
    <row r="879">
      <c r="F879" s="3" t="s">
        <v>1381</v>
      </c>
    </row>
    <row r="880">
      <c r="F880" s="3" t="s">
        <v>1381</v>
      </c>
    </row>
    <row r="881">
      <c r="F881" s="3" t="s">
        <v>1381</v>
      </c>
    </row>
    <row r="882">
      <c r="F882" s="3" t="s">
        <v>1381</v>
      </c>
    </row>
    <row r="883">
      <c r="F883" s="3" t="s">
        <v>1381</v>
      </c>
    </row>
    <row r="884">
      <c r="F884" s="3" t="s">
        <v>1381</v>
      </c>
    </row>
    <row r="885">
      <c r="F885" s="3" t="s">
        <v>1381</v>
      </c>
    </row>
    <row r="886">
      <c r="F886" s="3" t="s">
        <v>1381</v>
      </c>
    </row>
    <row r="887">
      <c r="F887" s="3" t="s">
        <v>1381</v>
      </c>
    </row>
    <row r="888">
      <c r="F888" s="3" t="s">
        <v>1381</v>
      </c>
    </row>
    <row r="889">
      <c r="F889" s="3" t="s">
        <v>1381</v>
      </c>
    </row>
    <row r="890">
      <c r="F890" s="3" t="s">
        <v>1381</v>
      </c>
    </row>
    <row r="891">
      <c r="F891" s="3" t="s">
        <v>1381</v>
      </c>
    </row>
    <row r="892">
      <c r="F892" s="3" t="s">
        <v>1381</v>
      </c>
    </row>
    <row r="893">
      <c r="F893" s="3" t="s">
        <v>1381</v>
      </c>
    </row>
    <row r="894">
      <c r="F894" s="3" t="s">
        <v>1381</v>
      </c>
    </row>
    <row r="895">
      <c r="F895" s="3" t="s">
        <v>1381</v>
      </c>
    </row>
    <row r="896">
      <c r="F896" s="3" t="s">
        <v>1381</v>
      </c>
    </row>
    <row r="897">
      <c r="F897" s="3" t="s">
        <v>1381</v>
      </c>
    </row>
    <row r="898">
      <c r="F898" s="3" t="s">
        <v>1381</v>
      </c>
    </row>
    <row r="899">
      <c r="F899" s="3" t="s">
        <v>1381</v>
      </c>
    </row>
    <row r="900">
      <c r="F900" s="3" t="s">
        <v>1381</v>
      </c>
    </row>
    <row r="901">
      <c r="F901" s="3" t="s">
        <v>1381</v>
      </c>
    </row>
    <row r="902">
      <c r="F902" s="3" t="s">
        <v>1381</v>
      </c>
    </row>
    <row r="903">
      <c r="F903" s="3" t="s">
        <v>1381</v>
      </c>
    </row>
    <row r="904">
      <c r="F904" s="3" t="s">
        <v>1381</v>
      </c>
    </row>
    <row r="905">
      <c r="F905" s="3" t="s">
        <v>1381</v>
      </c>
    </row>
    <row r="906">
      <c r="F906" s="3" t="s">
        <v>1381</v>
      </c>
    </row>
    <row r="907">
      <c r="F907" s="3" t="s">
        <v>1381</v>
      </c>
    </row>
    <row r="908">
      <c r="F908" s="3" t="s">
        <v>1381</v>
      </c>
    </row>
    <row r="909">
      <c r="F909" s="3" t="s">
        <v>1381</v>
      </c>
    </row>
    <row r="910">
      <c r="F910" s="3" t="s">
        <v>1381</v>
      </c>
    </row>
    <row r="911">
      <c r="F911" s="3" t="s">
        <v>1381</v>
      </c>
    </row>
    <row r="912">
      <c r="F912" s="3" t="s">
        <v>1381</v>
      </c>
    </row>
    <row r="913">
      <c r="F913" s="3" t="s">
        <v>1381</v>
      </c>
    </row>
    <row r="914">
      <c r="F914" s="3" t="s">
        <v>1381</v>
      </c>
    </row>
    <row r="915">
      <c r="F915" s="3" t="s">
        <v>1381</v>
      </c>
    </row>
    <row r="916">
      <c r="F916" s="3" t="s">
        <v>1381</v>
      </c>
    </row>
    <row r="917">
      <c r="F917" s="3" t="s">
        <v>1381</v>
      </c>
    </row>
    <row r="918">
      <c r="F918" s="3" t="s">
        <v>1381</v>
      </c>
    </row>
    <row r="919">
      <c r="F919" s="3" t="s">
        <v>1381</v>
      </c>
    </row>
    <row r="920">
      <c r="F920" s="3" t="s">
        <v>1381</v>
      </c>
    </row>
    <row r="921">
      <c r="F921" s="3" t="s">
        <v>1381</v>
      </c>
    </row>
    <row r="922">
      <c r="F922" s="3" t="s">
        <v>1381</v>
      </c>
    </row>
    <row r="923">
      <c r="F923" s="3" t="s">
        <v>1381</v>
      </c>
    </row>
    <row r="924">
      <c r="F924" s="3" t="s">
        <v>1381</v>
      </c>
    </row>
    <row r="925">
      <c r="F925" s="3" t="s">
        <v>1381</v>
      </c>
    </row>
    <row r="926">
      <c r="F926" s="3" t="s">
        <v>1381</v>
      </c>
    </row>
    <row r="927">
      <c r="F927" s="3" t="s">
        <v>1381</v>
      </c>
    </row>
    <row r="928">
      <c r="F928" s="3" t="s">
        <v>1381</v>
      </c>
    </row>
    <row r="929">
      <c r="F929" s="3" t="s">
        <v>1381</v>
      </c>
    </row>
    <row r="930">
      <c r="F930" s="3" t="s">
        <v>1381</v>
      </c>
    </row>
    <row r="931">
      <c r="F931" s="3" t="s">
        <v>1381</v>
      </c>
    </row>
    <row r="932">
      <c r="F932" s="3" t="s">
        <v>1381</v>
      </c>
    </row>
    <row r="933">
      <c r="F933" s="3" t="s">
        <v>1381</v>
      </c>
    </row>
    <row r="934">
      <c r="F934" s="3" t="s">
        <v>1381</v>
      </c>
    </row>
    <row r="935">
      <c r="F935" s="3" t="s">
        <v>1381</v>
      </c>
    </row>
    <row r="936">
      <c r="F936" s="3" t="s">
        <v>1381</v>
      </c>
    </row>
    <row r="937">
      <c r="F937" s="3" t="s">
        <v>1381</v>
      </c>
    </row>
    <row r="938">
      <c r="F938" s="3" t="s">
        <v>1381</v>
      </c>
    </row>
    <row r="939">
      <c r="F939" s="3" t="s">
        <v>1381</v>
      </c>
    </row>
    <row r="940">
      <c r="F940" s="3" t="s">
        <v>1381</v>
      </c>
    </row>
    <row r="941">
      <c r="F941" s="3" t="s">
        <v>1381</v>
      </c>
    </row>
    <row r="942">
      <c r="F942" s="3" t="s">
        <v>1381</v>
      </c>
    </row>
    <row r="943">
      <c r="F943" s="3" t="s">
        <v>1381</v>
      </c>
    </row>
    <row r="944">
      <c r="F944" s="3" t="s">
        <v>1381</v>
      </c>
    </row>
    <row r="945">
      <c r="F945" s="3" t="s">
        <v>1381</v>
      </c>
    </row>
    <row r="946">
      <c r="F946" s="3" t="s">
        <v>1381</v>
      </c>
    </row>
    <row r="947">
      <c r="F947" s="3" t="s">
        <v>1381</v>
      </c>
    </row>
    <row r="948">
      <c r="F948" s="3" t="s">
        <v>1381</v>
      </c>
    </row>
    <row r="949">
      <c r="F949" s="3" t="s">
        <v>1381</v>
      </c>
    </row>
    <row r="950">
      <c r="F950" s="3" t="s">
        <v>1381</v>
      </c>
    </row>
    <row r="951">
      <c r="F951" s="3" t="s">
        <v>1381</v>
      </c>
    </row>
    <row r="952">
      <c r="F952" s="3" t="s">
        <v>1381</v>
      </c>
    </row>
    <row r="953">
      <c r="F953" s="3" t="s">
        <v>1381</v>
      </c>
    </row>
    <row r="954">
      <c r="F954" s="3" t="s">
        <v>1381</v>
      </c>
    </row>
    <row r="955">
      <c r="F955" s="3" t="s">
        <v>1381</v>
      </c>
    </row>
    <row r="956">
      <c r="F956" s="3" t="s">
        <v>1381</v>
      </c>
    </row>
    <row r="957">
      <c r="F957" s="3" t="s">
        <v>1381</v>
      </c>
    </row>
    <row r="958">
      <c r="F958" s="3" t="s">
        <v>1381</v>
      </c>
    </row>
    <row r="959">
      <c r="F959" s="3" t="s">
        <v>1381</v>
      </c>
    </row>
    <row r="960">
      <c r="F960" s="3" t="s">
        <v>1381</v>
      </c>
    </row>
    <row r="961">
      <c r="F961" s="3" t="s">
        <v>1381</v>
      </c>
    </row>
    <row r="962">
      <c r="F962" s="3" t="s">
        <v>1381</v>
      </c>
    </row>
    <row r="963">
      <c r="F963" s="3" t="s">
        <v>1381</v>
      </c>
    </row>
    <row r="964">
      <c r="F964" s="3" t="s">
        <v>1381</v>
      </c>
    </row>
    <row r="965">
      <c r="F965" s="3" t="s">
        <v>1381</v>
      </c>
    </row>
    <row r="966">
      <c r="F966" s="3" t="s">
        <v>1381</v>
      </c>
    </row>
    <row r="967">
      <c r="F967" s="3" t="s">
        <v>1381</v>
      </c>
    </row>
    <row r="968">
      <c r="F968" s="3" t="s">
        <v>1381</v>
      </c>
    </row>
    <row r="969">
      <c r="F969" s="3" t="s">
        <v>1381</v>
      </c>
    </row>
    <row r="970">
      <c r="F970" s="3" t="s">
        <v>1381</v>
      </c>
    </row>
    <row r="971">
      <c r="F971" s="3" t="s">
        <v>1381</v>
      </c>
    </row>
    <row r="972">
      <c r="F972" s="3" t="s">
        <v>1381</v>
      </c>
    </row>
    <row r="973">
      <c r="F973" s="3" t="s">
        <v>1381</v>
      </c>
    </row>
    <row r="974">
      <c r="F974" s="3" t="s">
        <v>1381</v>
      </c>
    </row>
    <row r="975">
      <c r="F975" s="3" t="s">
        <v>1381</v>
      </c>
    </row>
    <row r="976">
      <c r="F976" s="3" t="s">
        <v>1381</v>
      </c>
    </row>
    <row r="977">
      <c r="F977" s="3" t="s">
        <v>1381</v>
      </c>
    </row>
    <row r="978">
      <c r="F978" s="3" t="s">
        <v>1381</v>
      </c>
    </row>
    <row r="979">
      <c r="F979" s="3" t="s">
        <v>1381</v>
      </c>
    </row>
    <row r="980">
      <c r="F980" s="3" t="s">
        <v>1381</v>
      </c>
    </row>
    <row r="981">
      <c r="F981" s="3" t="s">
        <v>1381</v>
      </c>
    </row>
    <row r="982">
      <c r="F982" s="3" t="s">
        <v>1381</v>
      </c>
    </row>
    <row r="983">
      <c r="F983" s="3" t="s">
        <v>1381</v>
      </c>
    </row>
    <row r="984">
      <c r="F984" s="3" t="s">
        <v>1381</v>
      </c>
    </row>
    <row r="985">
      <c r="F985" s="3" t="s">
        <v>1381</v>
      </c>
    </row>
    <row r="986">
      <c r="F986" s="3" t="s">
        <v>1381</v>
      </c>
    </row>
    <row r="987">
      <c r="F987" s="3" t="s">
        <v>1381</v>
      </c>
    </row>
    <row r="988">
      <c r="F988" s="3" t="s">
        <v>1381</v>
      </c>
    </row>
    <row r="989">
      <c r="F989" s="3" t="s">
        <v>1381</v>
      </c>
    </row>
    <row r="990">
      <c r="F990" s="3" t="s">
        <v>1381</v>
      </c>
    </row>
    <row r="991">
      <c r="F991" s="3" t="s">
        <v>1381</v>
      </c>
    </row>
    <row r="992">
      <c r="F992" s="3" t="s">
        <v>1381</v>
      </c>
    </row>
    <row r="993">
      <c r="F993" s="3" t="s">
        <v>1381</v>
      </c>
    </row>
    <row r="994">
      <c r="F994" s="3" t="s">
        <v>1381</v>
      </c>
    </row>
    <row r="995">
      <c r="F995" s="3" t="s">
        <v>1381</v>
      </c>
    </row>
    <row r="996">
      <c r="F996" s="3" t="s">
        <v>1381</v>
      </c>
    </row>
    <row r="997">
      <c r="F997" s="3" t="s">
        <v>1381</v>
      </c>
    </row>
    <row r="998">
      <c r="F998" s="3" t="s">
        <v>1381</v>
      </c>
    </row>
    <row r="999">
      <c r="F999" s="3" t="s">
        <v>1381</v>
      </c>
    </row>
    <row r="1000">
      <c r="F1000" s="3" t="s">
        <v>1381</v>
      </c>
    </row>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3</v>
      </c>
      <c r="E1" s="2" t="s">
        <v>4</v>
      </c>
    </row>
    <row r="2">
      <c r="A2" s="1" t="s">
        <v>5</v>
      </c>
      <c r="B2" s="1" t="s">
        <v>6</v>
      </c>
      <c r="C2" s="1" t="s">
        <v>7</v>
      </c>
      <c r="D2" s="1" t="s">
        <v>8</v>
      </c>
      <c r="E2" s="3">
        <f t="array" ref="E2:E355">SEQUENCE(COUNTA(A2:A1000), 1, 5001)</f>
        <v>5001</v>
      </c>
    </row>
    <row r="3">
      <c r="A3" s="1" t="s">
        <v>9</v>
      </c>
      <c r="B3" s="1" t="s">
        <v>10</v>
      </c>
      <c r="C3" s="1" t="s">
        <v>11</v>
      </c>
      <c r="D3" s="1" t="s">
        <v>12</v>
      </c>
      <c r="E3" s="3">
        <v>5002.0</v>
      </c>
    </row>
    <row r="4">
      <c r="A4" s="1" t="s">
        <v>13</v>
      </c>
      <c r="B4" s="1" t="s">
        <v>14</v>
      </c>
      <c r="C4" s="1" t="s">
        <v>15</v>
      </c>
      <c r="D4" s="1" t="s">
        <v>8</v>
      </c>
      <c r="E4" s="3">
        <v>5003.0</v>
      </c>
    </row>
    <row r="5">
      <c r="A5" s="1" t="s">
        <v>16</v>
      </c>
      <c r="B5" s="1" t="s">
        <v>17</v>
      </c>
      <c r="C5" s="1" t="s">
        <v>18</v>
      </c>
      <c r="D5" s="1" t="s">
        <v>12</v>
      </c>
      <c r="E5" s="3">
        <v>5004.0</v>
      </c>
    </row>
    <row r="6">
      <c r="A6" s="1" t="s">
        <v>19</v>
      </c>
      <c r="B6" s="1" t="s">
        <v>21</v>
      </c>
      <c r="C6" s="1" t="s">
        <v>22</v>
      </c>
      <c r="D6" s="1" t="s">
        <v>23</v>
      </c>
      <c r="E6" s="3">
        <v>5005.0</v>
      </c>
    </row>
    <row r="7">
      <c r="A7" s="1" t="s">
        <v>24</v>
      </c>
      <c r="B7" s="1" t="s">
        <v>25</v>
      </c>
      <c r="C7" s="1" t="s">
        <v>26</v>
      </c>
      <c r="D7" s="1" t="s">
        <v>8</v>
      </c>
      <c r="E7" s="3">
        <v>5006.0</v>
      </c>
    </row>
    <row r="8">
      <c r="A8" s="1" t="s">
        <v>27</v>
      </c>
      <c r="B8" s="1" t="s">
        <v>28</v>
      </c>
      <c r="C8" s="1" t="s">
        <v>29</v>
      </c>
      <c r="D8" s="1" t="s">
        <v>23</v>
      </c>
      <c r="E8" s="3">
        <v>5007.0</v>
      </c>
    </row>
    <row r="9">
      <c r="A9" s="1" t="s">
        <v>31</v>
      </c>
      <c r="B9" s="1" t="s">
        <v>32</v>
      </c>
      <c r="C9" s="1" t="s">
        <v>33</v>
      </c>
      <c r="D9" s="1" t="s">
        <v>12</v>
      </c>
      <c r="E9" s="3">
        <v>5008.0</v>
      </c>
    </row>
    <row r="10">
      <c r="A10" s="1" t="s">
        <v>34</v>
      </c>
      <c r="B10" s="1" t="s">
        <v>36</v>
      </c>
      <c r="C10" s="1" t="s">
        <v>37</v>
      </c>
      <c r="D10" s="1" t="s">
        <v>8</v>
      </c>
      <c r="E10" s="3">
        <v>5009.0</v>
      </c>
    </row>
    <row r="11">
      <c r="A11" s="1" t="s">
        <v>39</v>
      </c>
      <c r="B11" s="1" t="s">
        <v>40</v>
      </c>
      <c r="C11" s="1" t="s">
        <v>41</v>
      </c>
      <c r="D11" s="1" t="s">
        <v>23</v>
      </c>
      <c r="E11" s="3">
        <v>5010.0</v>
      </c>
    </row>
    <row r="12">
      <c r="A12" s="1" t="s">
        <v>42</v>
      </c>
      <c r="B12" s="1" t="s">
        <v>43</v>
      </c>
      <c r="C12" s="1" t="s">
        <v>44</v>
      </c>
      <c r="D12" s="1" t="s">
        <v>23</v>
      </c>
      <c r="E12" s="3">
        <v>5011.0</v>
      </c>
    </row>
    <row r="13">
      <c r="A13" s="1" t="s">
        <v>45</v>
      </c>
      <c r="B13" s="1" t="s">
        <v>46</v>
      </c>
      <c r="C13" s="1" t="s">
        <v>47</v>
      </c>
      <c r="D13" s="1" t="s">
        <v>23</v>
      </c>
      <c r="E13" s="3">
        <v>5012.0</v>
      </c>
    </row>
    <row r="14">
      <c r="A14" s="1" t="s">
        <v>49</v>
      </c>
      <c r="B14" s="1" t="s">
        <v>50</v>
      </c>
      <c r="C14" s="1" t="s">
        <v>51</v>
      </c>
      <c r="D14" s="1" t="s">
        <v>12</v>
      </c>
      <c r="E14" s="3">
        <v>5013.0</v>
      </c>
    </row>
    <row r="15">
      <c r="A15" s="1" t="s">
        <v>53</v>
      </c>
      <c r="B15" s="1" t="s">
        <v>54</v>
      </c>
      <c r="C15" s="1" t="s">
        <v>55</v>
      </c>
      <c r="D15" s="1" t="s">
        <v>56</v>
      </c>
      <c r="E15" s="3">
        <v>5014.0</v>
      </c>
    </row>
    <row r="16">
      <c r="A16" s="1" t="s">
        <v>57</v>
      </c>
      <c r="B16" s="1" t="s">
        <v>58</v>
      </c>
      <c r="C16" s="1" t="s">
        <v>59</v>
      </c>
      <c r="D16" s="1" t="s">
        <v>23</v>
      </c>
      <c r="E16" s="3">
        <v>5015.0</v>
      </c>
    </row>
    <row r="17">
      <c r="A17" s="1" t="s">
        <v>60</v>
      </c>
      <c r="B17" s="1" t="s">
        <v>61</v>
      </c>
      <c r="C17" s="1" t="s">
        <v>62</v>
      </c>
      <c r="D17" s="1" t="s">
        <v>63</v>
      </c>
      <c r="E17" s="3">
        <v>5016.0</v>
      </c>
    </row>
    <row r="18">
      <c r="A18" s="1" t="s">
        <v>65</v>
      </c>
      <c r="B18" s="1" t="s">
        <v>66</v>
      </c>
      <c r="C18" s="1" t="s">
        <v>67</v>
      </c>
      <c r="D18" s="1" t="s">
        <v>8</v>
      </c>
      <c r="E18" s="3">
        <v>5017.0</v>
      </c>
    </row>
    <row r="19">
      <c r="A19" s="1" t="s">
        <v>68</v>
      </c>
      <c r="B19" s="1" t="s">
        <v>70</v>
      </c>
      <c r="C19" s="1" t="s">
        <v>71</v>
      </c>
      <c r="D19" s="1" t="s">
        <v>12</v>
      </c>
      <c r="E19" s="3">
        <v>5018.0</v>
      </c>
    </row>
    <row r="20">
      <c r="A20" s="1" t="s">
        <v>73</v>
      </c>
      <c r="B20" s="1" t="s">
        <v>74</v>
      </c>
      <c r="C20" s="1" t="s">
        <v>75</v>
      </c>
      <c r="D20" s="1" t="s">
        <v>12</v>
      </c>
      <c r="E20" s="3">
        <v>5019.0</v>
      </c>
    </row>
    <row r="21">
      <c r="A21" s="1" t="s">
        <v>77</v>
      </c>
      <c r="B21" s="1" t="s">
        <v>78</v>
      </c>
      <c r="C21" s="1" t="s">
        <v>79</v>
      </c>
      <c r="D21" s="1" t="s">
        <v>80</v>
      </c>
      <c r="E21" s="3">
        <v>5020.0</v>
      </c>
    </row>
    <row r="22">
      <c r="A22" s="1" t="s">
        <v>82</v>
      </c>
      <c r="B22" s="1" t="s">
        <v>83</v>
      </c>
      <c r="C22" s="1" t="s">
        <v>84</v>
      </c>
      <c r="D22" s="1" t="s">
        <v>23</v>
      </c>
      <c r="E22" s="3">
        <v>5021.0</v>
      </c>
    </row>
    <row r="23">
      <c r="A23" s="1" t="s">
        <v>86</v>
      </c>
      <c r="B23" s="1" t="s">
        <v>87</v>
      </c>
      <c r="C23" s="1" t="s">
        <v>88</v>
      </c>
      <c r="D23" s="1" t="s">
        <v>12</v>
      </c>
      <c r="E23" s="3">
        <v>5022.0</v>
      </c>
    </row>
    <row r="24">
      <c r="A24" s="1" t="s">
        <v>90</v>
      </c>
      <c r="B24" s="1" t="s">
        <v>91</v>
      </c>
      <c r="C24" s="1" t="s">
        <v>93</v>
      </c>
      <c r="D24" s="1" t="s">
        <v>23</v>
      </c>
      <c r="E24" s="3">
        <v>5023.0</v>
      </c>
    </row>
    <row r="25">
      <c r="A25" s="1" t="s">
        <v>94</v>
      </c>
      <c r="B25" s="1" t="s">
        <v>96</v>
      </c>
      <c r="C25" s="1" t="s">
        <v>97</v>
      </c>
      <c r="D25" s="1" t="s">
        <v>98</v>
      </c>
      <c r="E25" s="3">
        <v>5024.0</v>
      </c>
    </row>
    <row r="26">
      <c r="A26" s="1" t="s">
        <v>99</v>
      </c>
      <c r="B26" s="1" t="s">
        <v>100</v>
      </c>
      <c r="C26" s="1" t="s">
        <v>101</v>
      </c>
      <c r="D26" s="1" t="s">
        <v>80</v>
      </c>
      <c r="E26" s="3">
        <v>5025.0</v>
      </c>
    </row>
    <row r="27">
      <c r="A27" s="1" t="s">
        <v>103</v>
      </c>
      <c r="B27" s="1" t="s">
        <v>104</v>
      </c>
      <c r="C27" s="1" t="s">
        <v>105</v>
      </c>
      <c r="D27" s="1" t="s">
        <v>23</v>
      </c>
      <c r="E27" s="3">
        <v>5026.0</v>
      </c>
    </row>
    <row r="28">
      <c r="A28" s="1" t="s">
        <v>106</v>
      </c>
      <c r="B28" s="1" t="s">
        <v>107</v>
      </c>
      <c r="C28" s="1" t="s">
        <v>108</v>
      </c>
      <c r="D28" s="1" t="s">
        <v>12</v>
      </c>
      <c r="E28" s="3">
        <v>5027.0</v>
      </c>
    </row>
    <row r="29">
      <c r="A29" s="1" t="s">
        <v>110</v>
      </c>
      <c r="B29" s="1" t="s">
        <v>112</v>
      </c>
      <c r="C29" s="1" t="s">
        <v>113</v>
      </c>
      <c r="D29" s="1" t="s">
        <v>12</v>
      </c>
      <c r="E29" s="3">
        <v>5028.0</v>
      </c>
    </row>
    <row r="30">
      <c r="A30" s="1" t="s">
        <v>114</v>
      </c>
      <c r="B30" s="1" t="s">
        <v>115</v>
      </c>
      <c r="C30" s="1" t="s">
        <v>116</v>
      </c>
      <c r="D30" s="1" t="s">
        <v>12</v>
      </c>
      <c r="E30" s="3">
        <v>5029.0</v>
      </c>
    </row>
    <row r="31">
      <c r="A31" s="1" t="s">
        <v>117</v>
      </c>
      <c r="B31" s="1" t="s">
        <v>119</v>
      </c>
      <c r="C31" s="1" t="s">
        <v>120</v>
      </c>
      <c r="D31" s="1" t="s">
        <v>12</v>
      </c>
      <c r="E31" s="3">
        <v>5030.0</v>
      </c>
    </row>
    <row r="32">
      <c r="A32" s="1" t="s">
        <v>122</v>
      </c>
      <c r="B32" s="1" t="s">
        <v>123</v>
      </c>
      <c r="C32" s="1" t="s">
        <v>124</v>
      </c>
      <c r="D32" s="1" t="s">
        <v>12</v>
      </c>
      <c r="E32" s="3">
        <v>5031.0</v>
      </c>
    </row>
    <row r="33">
      <c r="A33" s="1" t="s">
        <v>125</v>
      </c>
      <c r="B33" s="1" t="s">
        <v>126</v>
      </c>
      <c r="C33" s="1" t="s">
        <v>127</v>
      </c>
      <c r="D33" s="1" t="s">
        <v>12</v>
      </c>
      <c r="E33" s="3">
        <v>5032.0</v>
      </c>
    </row>
    <row r="34">
      <c r="A34" s="1" t="s">
        <v>129</v>
      </c>
      <c r="B34" s="1" t="s">
        <v>130</v>
      </c>
      <c r="C34" s="1" t="s">
        <v>131</v>
      </c>
      <c r="D34" s="1" t="s">
        <v>12</v>
      </c>
      <c r="E34" s="3">
        <v>5033.0</v>
      </c>
    </row>
    <row r="35">
      <c r="A35" s="1" t="s">
        <v>132</v>
      </c>
      <c r="B35" s="1" t="s">
        <v>133</v>
      </c>
      <c r="C35" s="1" t="s">
        <v>134</v>
      </c>
      <c r="D35" s="1" t="s">
        <v>23</v>
      </c>
      <c r="E35" s="3">
        <v>5034.0</v>
      </c>
    </row>
    <row r="36">
      <c r="A36" s="1" t="s">
        <v>135</v>
      </c>
      <c r="B36" s="1" t="s">
        <v>137</v>
      </c>
      <c r="C36" s="1" t="s">
        <v>138</v>
      </c>
      <c r="D36" s="1" t="s">
        <v>23</v>
      </c>
      <c r="E36" s="3">
        <v>5035.0</v>
      </c>
    </row>
    <row r="37">
      <c r="A37" s="1" t="s">
        <v>139</v>
      </c>
      <c r="B37" s="1" t="s">
        <v>140</v>
      </c>
      <c r="C37" s="1" t="s">
        <v>141</v>
      </c>
      <c r="D37" s="1" t="s">
        <v>12</v>
      </c>
      <c r="E37" s="3">
        <v>5036.0</v>
      </c>
    </row>
    <row r="38">
      <c r="A38" s="1" t="s">
        <v>142</v>
      </c>
      <c r="B38" s="1" t="s">
        <v>143</v>
      </c>
      <c r="C38" s="1" t="s">
        <v>144</v>
      </c>
      <c r="D38" s="1" t="s">
        <v>98</v>
      </c>
      <c r="E38" s="3">
        <v>5037.0</v>
      </c>
    </row>
    <row r="39">
      <c r="A39" s="1" t="s">
        <v>145</v>
      </c>
      <c r="B39" s="1" t="s">
        <v>146</v>
      </c>
      <c r="C39" s="1" t="s">
        <v>147</v>
      </c>
      <c r="D39" s="1" t="s">
        <v>23</v>
      </c>
      <c r="E39" s="3">
        <v>5038.0</v>
      </c>
    </row>
    <row r="40">
      <c r="A40" s="1" t="s">
        <v>148</v>
      </c>
      <c r="B40" s="1" t="s">
        <v>149</v>
      </c>
      <c r="C40" s="1" t="s">
        <v>150</v>
      </c>
      <c r="D40" s="1" t="s">
        <v>98</v>
      </c>
      <c r="E40" s="3">
        <v>5039.0</v>
      </c>
    </row>
    <row r="41">
      <c r="A41" s="1" t="s">
        <v>151</v>
      </c>
      <c r="B41" s="1" t="s">
        <v>152</v>
      </c>
      <c r="C41" s="1" t="s">
        <v>154</v>
      </c>
      <c r="D41" s="1" t="s">
        <v>12</v>
      </c>
      <c r="E41" s="3">
        <v>5040.0</v>
      </c>
    </row>
    <row r="42">
      <c r="A42" s="1" t="s">
        <v>155</v>
      </c>
      <c r="B42" s="1" t="s">
        <v>156</v>
      </c>
      <c r="C42" s="1" t="s">
        <v>157</v>
      </c>
      <c r="D42" s="1" t="s">
        <v>8</v>
      </c>
      <c r="E42" s="3">
        <v>5041.0</v>
      </c>
    </row>
    <row r="43">
      <c r="A43" s="1" t="s">
        <v>158</v>
      </c>
      <c r="B43" s="1" t="s">
        <v>159</v>
      </c>
      <c r="C43" s="1" t="s">
        <v>160</v>
      </c>
      <c r="D43" s="1" t="s">
        <v>23</v>
      </c>
      <c r="E43" s="3">
        <v>5042.0</v>
      </c>
    </row>
    <row r="44">
      <c r="A44" s="1" t="s">
        <v>161</v>
      </c>
      <c r="B44" s="1" t="s">
        <v>162</v>
      </c>
      <c r="C44" s="1" t="s">
        <v>163</v>
      </c>
      <c r="D44" s="1" t="s">
        <v>23</v>
      </c>
      <c r="E44" s="3">
        <v>5043.0</v>
      </c>
    </row>
    <row r="45">
      <c r="A45" s="1" t="s">
        <v>164</v>
      </c>
      <c r="B45" s="1" t="s">
        <v>165</v>
      </c>
      <c r="C45" s="1" t="s">
        <v>167</v>
      </c>
      <c r="D45" s="1" t="s">
        <v>23</v>
      </c>
      <c r="E45" s="3">
        <v>5044.0</v>
      </c>
    </row>
    <row r="46">
      <c r="A46" s="1" t="s">
        <v>168</v>
      </c>
      <c r="B46" s="1" t="s">
        <v>169</v>
      </c>
      <c r="C46" s="1" t="s">
        <v>170</v>
      </c>
      <c r="D46" s="1" t="s">
        <v>8</v>
      </c>
      <c r="E46" s="3">
        <v>5045.0</v>
      </c>
    </row>
    <row r="47">
      <c r="A47" s="1" t="s">
        <v>172</v>
      </c>
      <c r="B47" s="1" t="s">
        <v>173</v>
      </c>
      <c r="C47" s="1" t="s">
        <v>174</v>
      </c>
      <c r="D47" s="1" t="s">
        <v>12</v>
      </c>
      <c r="E47" s="3">
        <v>5046.0</v>
      </c>
    </row>
    <row r="48">
      <c r="A48" s="1" t="s">
        <v>175</v>
      </c>
      <c r="B48" s="1" t="s">
        <v>176</v>
      </c>
      <c r="C48" s="1" t="s">
        <v>177</v>
      </c>
      <c r="D48" s="1" t="s">
        <v>23</v>
      </c>
      <c r="E48" s="3">
        <v>5047.0</v>
      </c>
    </row>
    <row r="49">
      <c r="A49" s="1" t="s">
        <v>178</v>
      </c>
      <c r="B49" s="1" t="s">
        <v>180</v>
      </c>
      <c r="C49" s="1" t="s">
        <v>181</v>
      </c>
      <c r="D49" s="1" t="s">
        <v>12</v>
      </c>
      <c r="E49" s="3">
        <v>5048.0</v>
      </c>
    </row>
    <row r="50">
      <c r="A50" s="1" t="s">
        <v>182</v>
      </c>
      <c r="B50" s="1" t="s">
        <v>183</v>
      </c>
      <c r="C50" s="1" t="s">
        <v>185</v>
      </c>
      <c r="D50" s="1" t="s">
        <v>12</v>
      </c>
      <c r="E50" s="3">
        <v>5049.0</v>
      </c>
    </row>
    <row r="51">
      <c r="A51" s="1" t="s">
        <v>186</v>
      </c>
      <c r="B51" s="1" t="s">
        <v>187</v>
      </c>
      <c r="C51" s="1" t="s">
        <v>188</v>
      </c>
      <c r="D51" s="1" t="s">
        <v>23</v>
      </c>
      <c r="E51" s="3">
        <v>5050.0</v>
      </c>
    </row>
    <row r="52">
      <c r="A52" s="1" t="s">
        <v>189</v>
      </c>
      <c r="B52" s="1" t="s">
        <v>190</v>
      </c>
      <c r="C52" s="1" t="s">
        <v>191</v>
      </c>
      <c r="D52" s="1" t="s">
        <v>12</v>
      </c>
      <c r="E52" s="3">
        <v>5051.0</v>
      </c>
    </row>
    <row r="53">
      <c r="A53" s="1" t="s">
        <v>192</v>
      </c>
      <c r="B53" s="1" t="s">
        <v>193</v>
      </c>
      <c r="C53" s="1" t="s">
        <v>194</v>
      </c>
      <c r="D53" s="1" t="s">
        <v>195</v>
      </c>
      <c r="E53" s="3">
        <v>5052.0</v>
      </c>
    </row>
    <row r="54">
      <c r="A54" s="1" t="s">
        <v>197</v>
      </c>
      <c r="B54" s="1" t="s">
        <v>198</v>
      </c>
      <c r="C54" s="1" t="s">
        <v>199</v>
      </c>
      <c r="D54" s="1" t="s">
        <v>12</v>
      </c>
      <c r="E54" s="3">
        <v>5053.0</v>
      </c>
    </row>
    <row r="55">
      <c r="A55" s="1" t="s">
        <v>200</v>
      </c>
      <c r="B55" s="1" t="s">
        <v>201</v>
      </c>
      <c r="C55" s="1" t="s">
        <v>202</v>
      </c>
      <c r="D55" s="1" t="s">
        <v>8</v>
      </c>
      <c r="E55" s="3">
        <v>5054.0</v>
      </c>
    </row>
    <row r="56">
      <c r="A56" s="1" t="s">
        <v>204</v>
      </c>
      <c r="B56" s="1" t="s">
        <v>205</v>
      </c>
      <c r="C56" s="1" t="s">
        <v>206</v>
      </c>
      <c r="D56" s="1" t="s">
        <v>8</v>
      </c>
      <c r="E56" s="3">
        <v>5055.0</v>
      </c>
    </row>
    <row r="57">
      <c r="A57" s="1" t="s">
        <v>207</v>
      </c>
      <c r="B57" s="1" t="s">
        <v>208</v>
      </c>
      <c r="C57" s="1" t="s">
        <v>210</v>
      </c>
      <c r="D57" s="1" t="s">
        <v>12</v>
      </c>
      <c r="E57" s="3">
        <v>5056.0</v>
      </c>
    </row>
    <row r="58">
      <c r="A58" s="1" t="s">
        <v>211</v>
      </c>
      <c r="B58" s="1" t="s">
        <v>213</v>
      </c>
      <c r="C58" s="1" t="s">
        <v>214</v>
      </c>
      <c r="D58" s="1" t="s">
        <v>12</v>
      </c>
      <c r="E58" s="3">
        <v>5057.0</v>
      </c>
    </row>
    <row r="59">
      <c r="A59" s="1" t="s">
        <v>215</v>
      </c>
      <c r="B59" s="1" t="s">
        <v>216</v>
      </c>
      <c r="C59" s="1" t="s">
        <v>217</v>
      </c>
      <c r="D59" s="1" t="s">
        <v>23</v>
      </c>
      <c r="E59" s="3">
        <v>5058.0</v>
      </c>
    </row>
    <row r="60">
      <c r="A60" s="1" t="s">
        <v>218</v>
      </c>
      <c r="B60" s="1" t="s">
        <v>219</v>
      </c>
      <c r="C60" s="1" t="s">
        <v>220</v>
      </c>
      <c r="D60" s="1" t="s">
        <v>8</v>
      </c>
      <c r="E60" s="3">
        <v>5059.0</v>
      </c>
    </row>
    <row r="61">
      <c r="A61" s="1" t="s">
        <v>221</v>
      </c>
      <c r="B61" s="1" t="s">
        <v>222</v>
      </c>
      <c r="C61" s="1" t="s">
        <v>223</v>
      </c>
      <c r="D61" s="1" t="s">
        <v>8</v>
      </c>
      <c r="E61" s="3">
        <v>5060.0</v>
      </c>
    </row>
    <row r="62">
      <c r="A62" s="1" t="s">
        <v>225</v>
      </c>
      <c r="B62" s="1" t="s">
        <v>226</v>
      </c>
      <c r="C62" s="1" t="s">
        <v>227</v>
      </c>
      <c r="D62" s="1" t="s">
        <v>80</v>
      </c>
      <c r="E62" s="3">
        <v>5061.0</v>
      </c>
    </row>
    <row r="63">
      <c r="A63" s="1" t="s">
        <v>228</v>
      </c>
      <c r="B63" s="1" t="s">
        <v>229</v>
      </c>
      <c r="C63" s="1" t="s">
        <v>230</v>
      </c>
      <c r="D63" s="1" t="s">
        <v>12</v>
      </c>
      <c r="E63" s="3">
        <v>5062.0</v>
      </c>
    </row>
    <row r="64">
      <c r="A64" s="1" t="s">
        <v>232</v>
      </c>
      <c r="B64" s="1" t="s">
        <v>233</v>
      </c>
      <c r="C64" s="1" t="s">
        <v>234</v>
      </c>
      <c r="D64" s="1" t="s">
        <v>23</v>
      </c>
      <c r="E64" s="3">
        <v>5063.0</v>
      </c>
    </row>
    <row r="65">
      <c r="A65" s="1" t="s">
        <v>235</v>
      </c>
      <c r="B65" s="1" t="s">
        <v>236</v>
      </c>
      <c r="C65" s="1" t="s">
        <v>237</v>
      </c>
      <c r="D65" s="1" t="s">
        <v>23</v>
      </c>
      <c r="E65" s="3">
        <v>5064.0</v>
      </c>
    </row>
    <row r="66">
      <c r="A66" s="1" t="s">
        <v>239</v>
      </c>
      <c r="B66" s="1" t="s">
        <v>240</v>
      </c>
      <c r="C66" s="1" t="s">
        <v>241</v>
      </c>
      <c r="D66" s="1" t="s">
        <v>242</v>
      </c>
      <c r="E66" s="3">
        <v>5065.0</v>
      </c>
    </row>
    <row r="67">
      <c r="A67" s="1" t="s">
        <v>244</v>
      </c>
      <c r="B67" s="1" t="s">
        <v>245</v>
      </c>
      <c r="C67" s="1" t="s">
        <v>246</v>
      </c>
      <c r="D67" s="1" t="s">
        <v>23</v>
      </c>
      <c r="E67" s="3">
        <v>5066.0</v>
      </c>
    </row>
    <row r="68">
      <c r="A68" s="1" t="s">
        <v>247</v>
      </c>
      <c r="B68" s="1" t="s">
        <v>248</v>
      </c>
      <c r="C68" s="1" t="s">
        <v>249</v>
      </c>
      <c r="D68" s="1" t="s">
        <v>8</v>
      </c>
      <c r="E68" s="3">
        <v>5067.0</v>
      </c>
    </row>
    <row r="69">
      <c r="A69" s="1" t="s">
        <v>250</v>
      </c>
      <c r="B69" s="1" t="s">
        <v>251</v>
      </c>
      <c r="C69" s="1" t="s">
        <v>252</v>
      </c>
      <c r="D69" s="1" t="s">
        <v>12</v>
      </c>
      <c r="E69" s="3">
        <v>5068.0</v>
      </c>
    </row>
    <row r="70">
      <c r="A70" s="1" t="s">
        <v>253</v>
      </c>
      <c r="B70" s="1" t="s">
        <v>254</v>
      </c>
      <c r="C70" s="1" t="s">
        <v>256</v>
      </c>
      <c r="D70" s="1" t="s">
        <v>23</v>
      </c>
      <c r="E70" s="3">
        <v>5069.0</v>
      </c>
    </row>
    <row r="71">
      <c r="A71" s="1" t="s">
        <v>257</v>
      </c>
      <c r="B71" s="1" t="s">
        <v>258</v>
      </c>
      <c r="C71" s="1" t="s">
        <v>259</v>
      </c>
      <c r="D71" s="1" t="s">
        <v>23</v>
      </c>
      <c r="E71" s="3">
        <v>5070.0</v>
      </c>
    </row>
    <row r="72">
      <c r="A72" s="1" t="s">
        <v>260</v>
      </c>
      <c r="B72" s="1" t="s">
        <v>261</v>
      </c>
      <c r="C72" s="1" t="s">
        <v>262</v>
      </c>
      <c r="D72" s="1" t="s">
        <v>12</v>
      </c>
      <c r="E72" s="3">
        <v>5071.0</v>
      </c>
    </row>
    <row r="73">
      <c r="A73" s="1" t="s">
        <v>264</v>
      </c>
      <c r="B73" s="1" t="s">
        <v>265</v>
      </c>
      <c r="C73" s="1" t="s">
        <v>266</v>
      </c>
      <c r="D73" s="1" t="s">
        <v>12</v>
      </c>
      <c r="E73" s="3">
        <v>5072.0</v>
      </c>
    </row>
    <row r="74">
      <c r="A74" s="1" t="s">
        <v>267</v>
      </c>
      <c r="B74" s="1" t="s">
        <v>268</v>
      </c>
      <c r="C74" s="1" t="s">
        <v>269</v>
      </c>
      <c r="D74" s="1" t="s">
        <v>12</v>
      </c>
      <c r="E74" s="3">
        <v>5073.0</v>
      </c>
    </row>
    <row r="75">
      <c r="A75" s="1" t="s">
        <v>271</v>
      </c>
      <c r="B75" s="1" t="s">
        <v>272</v>
      </c>
      <c r="C75" s="1" t="s">
        <v>273</v>
      </c>
      <c r="D75" s="1" t="s">
        <v>23</v>
      </c>
      <c r="E75" s="3">
        <v>5074.0</v>
      </c>
    </row>
    <row r="76">
      <c r="A76" s="1" t="s">
        <v>275</v>
      </c>
      <c r="B76" s="1" t="s">
        <v>276</v>
      </c>
      <c r="C76" s="1" t="s">
        <v>277</v>
      </c>
      <c r="D76" s="1" t="s">
        <v>23</v>
      </c>
      <c r="E76" s="3">
        <v>5075.0</v>
      </c>
    </row>
    <row r="77">
      <c r="A77" s="1" t="s">
        <v>278</v>
      </c>
      <c r="B77" s="1" t="s">
        <v>279</v>
      </c>
      <c r="C77" s="1" t="s">
        <v>280</v>
      </c>
      <c r="D77" s="1" t="s">
        <v>98</v>
      </c>
      <c r="E77" s="3">
        <v>5076.0</v>
      </c>
    </row>
    <row r="78">
      <c r="A78" s="1" t="s">
        <v>281</v>
      </c>
      <c r="B78" s="1" t="s">
        <v>282</v>
      </c>
      <c r="C78" s="1" t="s">
        <v>283</v>
      </c>
      <c r="D78" s="1" t="s">
        <v>98</v>
      </c>
      <c r="E78" s="3">
        <v>5077.0</v>
      </c>
    </row>
    <row r="79">
      <c r="A79" s="1" t="s">
        <v>285</v>
      </c>
      <c r="B79" s="1" t="s">
        <v>286</v>
      </c>
      <c r="C79" s="1" t="s">
        <v>287</v>
      </c>
      <c r="D79" s="1" t="s">
        <v>12</v>
      </c>
      <c r="E79" s="3">
        <v>5078.0</v>
      </c>
    </row>
    <row r="80">
      <c r="A80" s="1" t="s">
        <v>288</v>
      </c>
      <c r="B80" s="1" t="s">
        <v>289</v>
      </c>
      <c r="C80" s="1" t="s">
        <v>290</v>
      </c>
      <c r="D80" s="1" t="s">
        <v>98</v>
      </c>
      <c r="E80" s="3">
        <v>5079.0</v>
      </c>
    </row>
    <row r="81">
      <c r="A81" s="1" t="s">
        <v>291</v>
      </c>
      <c r="B81" s="1" t="s">
        <v>292</v>
      </c>
      <c r="C81" s="1" t="s">
        <v>293</v>
      </c>
      <c r="D81" s="1" t="s">
        <v>98</v>
      </c>
      <c r="E81" s="3">
        <v>5080.0</v>
      </c>
    </row>
    <row r="82">
      <c r="A82" s="1" t="s">
        <v>291</v>
      </c>
      <c r="B82" s="1" t="s">
        <v>292</v>
      </c>
      <c r="C82" s="1" t="s">
        <v>293</v>
      </c>
      <c r="D82" s="1" t="s">
        <v>98</v>
      </c>
      <c r="E82" s="3">
        <v>5081.0</v>
      </c>
    </row>
    <row r="83">
      <c r="A83" s="1" t="s">
        <v>295</v>
      </c>
      <c r="B83" s="1" t="s">
        <v>297</v>
      </c>
      <c r="C83" s="1" t="s">
        <v>298</v>
      </c>
      <c r="D83" s="1" t="s">
        <v>98</v>
      </c>
      <c r="E83" s="3">
        <v>5082.0</v>
      </c>
    </row>
    <row r="84">
      <c r="A84" s="1" t="s">
        <v>300</v>
      </c>
      <c r="B84" s="1" t="s">
        <v>301</v>
      </c>
      <c r="C84" s="1" t="s">
        <v>302</v>
      </c>
      <c r="D84" s="1" t="s">
        <v>12</v>
      </c>
      <c r="E84" s="3">
        <v>5083.0</v>
      </c>
    </row>
    <row r="85">
      <c r="A85" s="1" t="s">
        <v>303</v>
      </c>
      <c r="B85" s="1" t="s">
        <v>304</v>
      </c>
      <c r="C85" s="1" t="s">
        <v>305</v>
      </c>
      <c r="D85" s="1" t="s">
        <v>23</v>
      </c>
      <c r="E85" s="3">
        <v>5084.0</v>
      </c>
    </row>
    <row r="86">
      <c r="A86" s="1" t="s">
        <v>307</v>
      </c>
      <c r="B86" s="1" t="s">
        <v>308</v>
      </c>
      <c r="C86" s="1" t="s">
        <v>309</v>
      </c>
      <c r="D86" s="1" t="s">
        <v>8</v>
      </c>
      <c r="E86" s="3">
        <v>5085.0</v>
      </c>
    </row>
    <row r="87">
      <c r="A87" s="1" t="s">
        <v>310</v>
      </c>
      <c r="B87" s="1" t="s">
        <v>312</v>
      </c>
      <c r="C87" s="1" t="s">
        <v>313</v>
      </c>
      <c r="D87" s="1" t="s">
        <v>98</v>
      </c>
      <c r="E87" s="3">
        <v>5086.0</v>
      </c>
    </row>
    <row r="88">
      <c r="A88" s="1" t="s">
        <v>314</v>
      </c>
      <c r="B88" s="1" t="s">
        <v>315</v>
      </c>
      <c r="C88" s="1" t="s">
        <v>316</v>
      </c>
      <c r="D88" s="1" t="s">
        <v>56</v>
      </c>
      <c r="E88" s="3">
        <v>5087.0</v>
      </c>
    </row>
    <row r="89">
      <c r="A89" s="1" t="s">
        <v>318</v>
      </c>
      <c r="B89" s="1" t="s">
        <v>319</v>
      </c>
      <c r="C89" s="1" t="s">
        <v>320</v>
      </c>
      <c r="D89" s="1" t="s">
        <v>12</v>
      </c>
      <c r="E89" s="3">
        <v>5088.0</v>
      </c>
    </row>
    <row r="90">
      <c r="A90" s="1" t="s">
        <v>321</v>
      </c>
      <c r="B90" s="1" t="s">
        <v>322</v>
      </c>
      <c r="C90" s="1" t="s">
        <v>323</v>
      </c>
      <c r="D90" s="1" t="s">
        <v>12</v>
      </c>
      <c r="E90" s="3">
        <v>5089.0</v>
      </c>
    </row>
    <row r="91">
      <c r="A91" s="1" t="s">
        <v>324</v>
      </c>
      <c r="B91" s="1" t="s">
        <v>325</v>
      </c>
      <c r="C91" s="1" t="s">
        <v>326</v>
      </c>
      <c r="D91" s="1" t="s">
        <v>327</v>
      </c>
      <c r="E91" s="3">
        <v>5090.0</v>
      </c>
    </row>
    <row r="92">
      <c r="A92" s="1" t="s">
        <v>328</v>
      </c>
      <c r="B92" s="1" t="s">
        <v>329</v>
      </c>
      <c r="C92" s="1" t="s">
        <v>331</v>
      </c>
      <c r="D92" s="1" t="s">
        <v>23</v>
      </c>
      <c r="E92" s="3">
        <v>5091.0</v>
      </c>
    </row>
    <row r="93">
      <c r="A93" s="1" t="s">
        <v>332</v>
      </c>
      <c r="B93" s="1" t="s">
        <v>333</v>
      </c>
      <c r="C93" s="1" t="s">
        <v>334</v>
      </c>
      <c r="D93" s="1" t="s">
        <v>335</v>
      </c>
      <c r="E93" s="3">
        <v>5092.0</v>
      </c>
    </row>
    <row r="94">
      <c r="A94" s="1" t="s">
        <v>336</v>
      </c>
      <c r="B94" s="1" t="s">
        <v>337</v>
      </c>
      <c r="C94" s="1" t="s">
        <v>338</v>
      </c>
      <c r="D94" s="1" t="s">
        <v>23</v>
      </c>
      <c r="E94" s="3">
        <v>5093.0</v>
      </c>
    </row>
    <row r="95">
      <c r="A95" s="1" t="s">
        <v>340</v>
      </c>
      <c r="B95" s="1" t="s">
        <v>341</v>
      </c>
      <c r="C95" s="1" t="s">
        <v>342</v>
      </c>
      <c r="D95" s="1" t="s">
        <v>23</v>
      </c>
      <c r="E95" s="3">
        <v>5094.0</v>
      </c>
    </row>
    <row r="96">
      <c r="A96" s="1" t="s">
        <v>343</v>
      </c>
      <c r="B96" s="1" t="s">
        <v>344</v>
      </c>
      <c r="C96" s="1" t="s">
        <v>345</v>
      </c>
      <c r="D96" s="1" t="s">
        <v>23</v>
      </c>
      <c r="E96" s="3">
        <v>5095.0</v>
      </c>
    </row>
    <row r="97">
      <c r="A97" s="1" t="s">
        <v>346</v>
      </c>
      <c r="B97" s="1" t="s">
        <v>348</v>
      </c>
      <c r="C97" s="1" t="s">
        <v>349</v>
      </c>
      <c r="D97" s="1" t="s">
        <v>23</v>
      </c>
      <c r="E97" s="3">
        <v>5096.0</v>
      </c>
    </row>
    <row r="98">
      <c r="A98" s="1" t="s">
        <v>350</v>
      </c>
      <c r="B98" s="1" t="s">
        <v>351</v>
      </c>
      <c r="C98" s="1" t="s">
        <v>352</v>
      </c>
      <c r="D98" s="1" t="s">
        <v>8</v>
      </c>
      <c r="E98" s="3">
        <v>5097.0</v>
      </c>
    </row>
    <row r="99">
      <c r="A99" s="1" t="s">
        <v>353</v>
      </c>
      <c r="B99" s="1" t="s">
        <v>354</v>
      </c>
      <c r="C99" s="1" t="s">
        <v>355</v>
      </c>
      <c r="D99" s="1" t="s">
        <v>356</v>
      </c>
      <c r="E99" s="3">
        <v>5098.0</v>
      </c>
    </row>
    <row r="100">
      <c r="A100" s="1" t="s">
        <v>357</v>
      </c>
      <c r="B100" s="1" t="s">
        <v>359</v>
      </c>
      <c r="C100" s="1" t="s">
        <v>360</v>
      </c>
      <c r="D100" s="1" t="s">
        <v>12</v>
      </c>
      <c r="E100" s="3">
        <v>5099.0</v>
      </c>
    </row>
    <row r="101">
      <c r="A101" s="1" t="s">
        <v>361</v>
      </c>
      <c r="B101" s="1" t="s">
        <v>362</v>
      </c>
      <c r="C101" s="1" t="s">
        <v>363</v>
      </c>
      <c r="D101" s="1" t="s">
        <v>98</v>
      </c>
      <c r="E101" s="3">
        <v>5100.0</v>
      </c>
    </row>
    <row r="102">
      <c r="A102" s="1" t="s">
        <v>364</v>
      </c>
      <c r="B102" s="1" t="s">
        <v>365</v>
      </c>
      <c r="C102" s="1" t="s">
        <v>366</v>
      </c>
      <c r="D102" s="1" t="s">
        <v>8</v>
      </c>
      <c r="E102" s="3">
        <v>5101.0</v>
      </c>
    </row>
    <row r="103">
      <c r="A103" s="1" t="s">
        <v>368</v>
      </c>
      <c r="B103" s="1" t="s">
        <v>369</v>
      </c>
      <c r="C103" s="1" t="s">
        <v>370</v>
      </c>
      <c r="D103" s="1" t="s">
        <v>12</v>
      </c>
      <c r="E103" s="3">
        <v>5102.0</v>
      </c>
    </row>
    <row r="104">
      <c r="A104" s="1" t="s">
        <v>371</v>
      </c>
      <c r="B104" s="1" t="s">
        <v>372</v>
      </c>
      <c r="C104" s="1" t="s">
        <v>373</v>
      </c>
      <c r="D104" s="1" t="s">
        <v>98</v>
      </c>
      <c r="E104" s="3">
        <v>5103.0</v>
      </c>
    </row>
    <row r="105">
      <c r="A105" s="1" t="s">
        <v>375</v>
      </c>
      <c r="B105" s="1" t="s">
        <v>376</v>
      </c>
      <c r="C105" s="1" t="s">
        <v>377</v>
      </c>
      <c r="D105" s="1" t="s">
        <v>23</v>
      </c>
      <c r="E105" s="3">
        <v>5104.0</v>
      </c>
    </row>
    <row r="106">
      <c r="A106" s="1" t="s">
        <v>378</v>
      </c>
      <c r="B106" s="1" t="s">
        <v>379</v>
      </c>
      <c r="C106" s="1" t="s">
        <v>380</v>
      </c>
      <c r="D106" s="1" t="s">
        <v>12</v>
      </c>
      <c r="E106" s="3">
        <v>5105.0</v>
      </c>
    </row>
    <row r="107">
      <c r="A107" s="1" t="s">
        <v>381</v>
      </c>
      <c r="B107" s="1" t="s">
        <v>382</v>
      </c>
      <c r="C107" s="1" t="s">
        <v>383</v>
      </c>
      <c r="D107" s="1" t="s">
        <v>23</v>
      </c>
      <c r="E107" s="3">
        <v>5106.0</v>
      </c>
    </row>
    <row r="108">
      <c r="A108" s="1" t="s">
        <v>385</v>
      </c>
      <c r="B108" s="1" t="s">
        <v>386</v>
      </c>
      <c r="C108" s="1" t="s">
        <v>387</v>
      </c>
      <c r="D108" s="1" t="s">
        <v>12</v>
      </c>
      <c r="E108" s="3">
        <v>5107.0</v>
      </c>
    </row>
    <row r="109">
      <c r="A109" s="1" t="s">
        <v>388</v>
      </c>
      <c r="B109" s="1" t="s">
        <v>389</v>
      </c>
      <c r="C109" s="1" t="s">
        <v>390</v>
      </c>
      <c r="D109" s="1" t="s">
        <v>391</v>
      </c>
      <c r="E109" s="3">
        <v>5108.0</v>
      </c>
    </row>
    <row r="110">
      <c r="A110" s="1" t="s">
        <v>392</v>
      </c>
      <c r="B110" s="1" t="s">
        <v>393</v>
      </c>
      <c r="C110" s="1" t="s">
        <v>394</v>
      </c>
      <c r="D110" s="1" t="s">
        <v>8</v>
      </c>
      <c r="E110" s="3">
        <v>5109.0</v>
      </c>
    </row>
    <row r="111">
      <c r="A111" s="1" t="s">
        <v>396</v>
      </c>
      <c r="B111" s="1" t="s">
        <v>397</v>
      </c>
      <c r="C111" s="1" t="s">
        <v>398</v>
      </c>
      <c r="D111" s="1" t="s">
        <v>8</v>
      </c>
      <c r="E111" s="3">
        <v>5110.0</v>
      </c>
    </row>
    <row r="112">
      <c r="A112" s="1" t="s">
        <v>399</v>
      </c>
      <c r="B112" s="1" t="s">
        <v>401</v>
      </c>
      <c r="C112" s="1" t="s">
        <v>402</v>
      </c>
      <c r="D112" s="1" t="s">
        <v>12</v>
      </c>
      <c r="E112" s="3">
        <v>5111.0</v>
      </c>
    </row>
    <row r="113">
      <c r="A113" s="1" t="s">
        <v>404</v>
      </c>
      <c r="B113" s="1" t="s">
        <v>405</v>
      </c>
      <c r="C113" s="1" t="s">
        <v>406</v>
      </c>
      <c r="D113" s="1" t="s">
        <v>23</v>
      </c>
      <c r="E113" s="3">
        <v>5112.0</v>
      </c>
    </row>
    <row r="114">
      <c r="A114" s="1" t="s">
        <v>407</v>
      </c>
      <c r="B114" s="1" t="s">
        <v>408</v>
      </c>
      <c r="C114" s="1" t="s">
        <v>409</v>
      </c>
      <c r="D114" s="1" t="s">
        <v>410</v>
      </c>
      <c r="E114" s="3">
        <v>5113.0</v>
      </c>
    </row>
    <row r="115">
      <c r="A115" s="1" t="s">
        <v>411</v>
      </c>
      <c r="B115" s="1" t="s">
        <v>412</v>
      </c>
      <c r="C115" s="1" t="s">
        <v>413</v>
      </c>
      <c r="D115" s="1" t="s">
        <v>12</v>
      </c>
      <c r="E115" s="3">
        <v>5114.0</v>
      </c>
    </row>
    <row r="116">
      <c r="A116" s="1" t="s">
        <v>414</v>
      </c>
      <c r="B116" s="1" t="s">
        <v>416</v>
      </c>
      <c r="C116" s="1" t="s">
        <v>417</v>
      </c>
      <c r="D116" s="1" t="s">
        <v>12</v>
      </c>
      <c r="E116" s="3">
        <v>5115.0</v>
      </c>
    </row>
    <row r="117">
      <c r="A117" s="1" t="s">
        <v>418</v>
      </c>
      <c r="B117" s="1" t="s">
        <v>419</v>
      </c>
      <c r="C117" s="1" t="s">
        <v>420</v>
      </c>
      <c r="D117" s="1" t="s">
        <v>23</v>
      </c>
      <c r="E117" s="3">
        <v>5116.0</v>
      </c>
    </row>
    <row r="118">
      <c r="A118" s="1" t="s">
        <v>421</v>
      </c>
      <c r="B118" s="1" t="s">
        <v>422</v>
      </c>
      <c r="C118" s="1" t="s">
        <v>423</v>
      </c>
      <c r="D118" s="1" t="s">
        <v>98</v>
      </c>
      <c r="E118" s="3">
        <v>5117.0</v>
      </c>
    </row>
    <row r="119">
      <c r="A119" s="1" t="s">
        <v>425</v>
      </c>
      <c r="B119" s="1" t="s">
        <v>426</v>
      </c>
      <c r="C119" s="1" t="s">
        <v>427</v>
      </c>
      <c r="D119" s="1" t="s">
        <v>12</v>
      </c>
      <c r="E119" s="3">
        <v>5118.0</v>
      </c>
    </row>
    <row r="120">
      <c r="A120" s="1" t="s">
        <v>429</v>
      </c>
      <c r="B120" s="1" t="s">
        <v>430</v>
      </c>
      <c r="C120" s="1" t="s">
        <v>432</v>
      </c>
      <c r="D120" s="1" t="s">
        <v>23</v>
      </c>
      <c r="E120" s="3">
        <v>5119.0</v>
      </c>
    </row>
    <row r="121">
      <c r="A121" s="1" t="s">
        <v>433</v>
      </c>
      <c r="B121" s="1" t="s">
        <v>435</v>
      </c>
      <c r="C121" s="1" t="s">
        <v>436</v>
      </c>
      <c r="D121" s="1" t="s">
        <v>23</v>
      </c>
      <c r="E121" s="3">
        <v>5120.0</v>
      </c>
    </row>
    <row r="122">
      <c r="A122" s="1" t="s">
        <v>438</v>
      </c>
      <c r="B122" s="1" t="s">
        <v>439</v>
      </c>
      <c r="C122" s="1" t="s">
        <v>440</v>
      </c>
      <c r="D122" s="1" t="s">
        <v>8</v>
      </c>
      <c r="E122" s="3">
        <v>5121.0</v>
      </c>
    </row>
    <row r="123">
      <c r="A123" s="1" t="s">
        <v>442</v>
      </c>
      <c r="B123" s="1" t="s">
        <v>443</v>
      </c>
      <c r="C123" s="1" t="s">
        <v>444</v>
      </c>
      <c r="D123" s="1" t="s">
        <v>23</v>
      </c>
      <c r="E123" s="3">
        <v>5122.0</v>
      </c>
    </row>
    <row r="124">
      <c r="A124" s="1" t="s">
        <v>445</v>
      </c>
      <c r="B124" s="1" t="s">
        <v>446</v>
      </c>
      <c r="C124" s="1" t="s">
        <v>448</v>
      </c>
      <c r="D124" s="1" t="s">
        <v>12</v>
      </c>
      <c r="E124" s="3">
        <v>5123.0</v>
      </c>
    </row>
    <row r="125">
      <c r="A125" s="1" t="s">
        <v>449</v>
      </c>
      <c r="B125" s="1" t="s">
        <v>450</v>
      </c>
      <c r="C125" s="1" t="s">
        <v>451</v>
      </c>
      <c r="D125" s="1" t="s">
        <v>23</v>
      </c>
      <c r="E125" s="3">
        <v>5124.0</v>
      </c>
    </row>
    <row r="126">
      <c r="A126" s="1" t="s">
        <v>452</v>
      </c>
      <c r="B126" s="1" t="s">
        <v>453</v>
      </c>
      <c r="C126" s="1" t="s">
        <v>454</v>
      </c>
      <c r="D126" s="1" t="s">
        <v>63</v>
      </c>
      <c r="E126" s="3">
        <v>5125.0</v>
      </c>
    </row>
    <row r="127">
      <c r="A127" s="1" t="s">
        <v>456</v>
      </c>
      <c r="B127" s="1" t="s">
        <v>457</v>
      </c>
      <c r="C127" s="1" t="s">
        <v>458</v>
      </c>
      <c r="D127" s="1" t="s">
        <v>23</v>
      </c>
      <c r="E127" s="3">
        <v>5126.0</v>
      </c>
    </row>
    <row r="128">
      <c r="A128" s="1" t="s">
        <v>459</v>
      </c>
      <c r="B128" s="1" t="s">
        <v>461</v>
      </c>
      <c r="C128" s="1" t="s">
        <v>462</v>
      </c>
      <c r="D128" s="1" t="s">
        <v>23</v>
      </c>
      <c r="E128" s="3">
        <v>5127.0</v>
      </c>
    </row>
    <row r="129">
      <c r="A129" s="1" t="s">
        <v>464</v>
      </c>
      <c r="B129" s="1" t="s">
        <v>465</v>
      </c>
      <c r="C129" s="1" t="s">
        <v>466</v>
      </c>
      <c r="D129" s="1" t="s">
        <v>12</v>
      </c>
      <c r="E129" s="3">
        <v>5128.0</v>
      </c>
    </row>
    <row r="130">
      <c r="A130" s="1" t="s">
        <v>467</v>
      </c>
      <c r="B130" s="1" t="s">
        <v>468</v>
      </c>
      <c r="C130" s="1" t="s">
        <v>469</v>
      </c>
      <c r="D130" s="1" t="s">
        <v>12</v>
      </c>
      <c r="E130" s="3">
        <v>5129.0</v>
      </c>
    </row>
    <row r="131">
      <c r="A131" s="1" t="s">
        <v>470</v>
      </c>
      <c r="B131" s="1" t="s">
        <v>471</v>
      </c>
      <c r="C131" s="1" t="s">
        <v>472</v>
      </c>
      <c r="D131" s="1" t="s">
        <v>12</v>
      </c>
      <c r="E131" s="3">
        <v>5130.0</v>
      </c>
    </row>
    <row r="132">
      <c r="A132" s="1" t="s">
        <v>473</v>
      </c>
      <c r="B132" s="1" t="s">
        <v>474</v>
      </c>
      <c r="C132" s="1" t="s">
        <v>475</v>
      </c>
      <c r="D132" s="1" t="s">
        <v>12</v>
      </c>
      <c r="E132" s="3">
        <v>5131.0</v>
      </c>
    </row>
    <row r="133">
      <c r="A133" s="1" t="s">
        <v>477</v>
      </c>
      <c r="B133" s="1" t="s">
        <v>478</v>
      </c>
      <c r="C133" s="1" t="s">
        <v>479</v>
      </c>
      <c r="D133" s="1" t="s">
        <v>63</v>
      </c>
      <c r="E133" s="3">
        <v>5132.0</v>
      </c>
    </row>
    <row r="134">
      <c r="A134" s="1" t="s">
        <v>480</v>
      </c>
      <c r="B134" s="1" t="s">
        <v>481</v>
      </c>
      <c r="C134" s="1" t="s">
        <v>482</v>
      </c>
      <c r="D134" s="1" t="s">
        <v>8</v>
      </c>
      <c r="E134" s="3">
        <v>5133.0</v>
      </c>
    </row>
    <row r="135">
      <c r="A135" s="1" t="s">
        <v>483</v>
      </c>
      <c r="B135" s="1" t="s">
        <v>484</v>
      </c>
      <c r="C135" s="1" t="s">
        <v>485</v>
      </c>
      <c r="D135" s="1" t="s">
        <v>8</v>
      </c>
      <c r="E135" s="3">
        <v>5134.0</v>
      </c>
    </row>
    <row r="136">
      <c r="A136" s="1" t="s">
        <v>486</v>
      </c>
      <c r="B136" s="1" t="s">
        <v>488</v>
      </c>
      <c r="C136" s="1" t="s">
        <v>489</v>
      </c>
      <c r="D136" s="1" t="s">
        <v>23</v>
      </c>
      <c r="E136" s="3">
        <v>5135.0</v>
      </c>
    </row>
    <row r="137">
      <c r="A137" s="1" t="s">
        <v>490</v>
      </c>
      <c r="B137" s="1" t="s">
        <v>491</v>
      </c>
      <c r="C137" s="1" t="s">
        <v>492</v>
      </c>
      <c r="D137" s="1" t="s">
        <v>23</v>
      </c>
      <c r="E137" s="3">
        <v>5136.0</v>
      </c>
    </row>
    <row r="138">
      <c r="A138" s="1" t="s">
        <v>493</v>
      </c>
      <c r="B138" s="1" t="s">
        <v>494</v>
      </c>
      <c r="C138" s="1" t="s">
        <v>495</v>
      </c>
      <c r="D138" s="1" t="s">
        <v>23</v>
      </c>
      <c r="E138" s="3">
        <v>5137.0</v>
      </c>
    </row>
    <row r="139">
      <c r="A139" s="1" t="s">
        <v>497</v>
      </c>
      <c r="B139" s="1" t="s">
        <v>498</v>
      </c>
      <c r="C139" s="1" t="s">
        <v>499</v>
      </c>
      <c r="D139" s="1" t="s">
        <v>8</v>
      </c>
      <c r="E139" s="3">
        <v>5138.0</v>
      </c>
    </row>
    <row r="140">
      <c r="A140" s="1" t="s">
        <v>501</v>
      </c>
      <c r="B140" s="1" t="s">
        <v>502</v>
      </c>
      <c r="C140" s="1" t="s">
        <v>503</v>
      </c>
      <c r="D140" s="1" t="s">
        <v>12</v>
      </c>
      <c r="E140" s="3">
        <v>5139.0</v>
      </c>
    </row>
    <row r="141">
      <c r="A141" s="1" t="s">
        <v>504</v>
      </c>
      <c r="B141" s="1" t="s">
        <v>505</v>
      </c>
      <c r="C141" s="1" t="s">
        <v>506</v>
      </c>
      <c r="D141" s="1" t="s">
        <v>23</v>
      </c>
      <c r="E141" s="3">
        <v>5140.0</v>
      </c>
    </row>
    <row r="142">
      <c r="A142" s="1" t="s">
        <v>507</v>
      </c>
      <c r="B142" s="1" t="s">
        <v>508</v>
      </c>
      <c r="C142" s="1" t="s">
        <v>509</v>
      </c>
      <c r="D142" s="1" t="s">
        <v>8</v>
      </c>
      <c r="E142" s="3">
        <v>5141.0</v>
      </c>
    </row>
    <row r="143">
      <c r="A143" s="1" t="s">
        <v>510</v>
      </c>
      <c r="B143" s="1" t="s">
        <v>511</v>
      </c>
      <c r="C143" s="1" t="s">
        <v>512</v>
      </c>
      <c r="D143" s="1" t="s">
        <v>80</v>
      </c>
      <c r="E143" s="3">
        <v>5142.0</v>
      </c>
    </row>
    <row r="144">
      <c r="A144" s="1" t="s">
        <v>514</v>
      </c>
      <c r="B144" s="1" t="s">
        <v>515</v>
      </c>
      <c r="C144" s="1" t="s">
        <v>516</v>
      </c>
      <c r="D144" s="1" t="s">
        <v>12</v>
      </c>
      <c r="E144" s="3">
        <v>5143.0</v>
      </c>
    </row>
    <row r="145">
      <c r="A145" s="1" t="s">
        <v>517</v>
      </c>
      <c r="B145" s="1" t="s">
        <v>518</v>
      </c>
      <c r="C145" s="1" t="s">
        <v>519</v>
      </c>
      <c r="D145" s="1" t="s">
        <v>8</v>
      </c>
      <c r="E145" s="3">
        <v>5144.0</v>
      </c>
    </row>
    <row r="146">
      <c r="A146" s="1" t="s">
        <v>520</v>
      </c>
      <c r="B146" s="1" t="s">
        <v>521</v>
      </c>
      <c r="C146" s="1" t="s">
        <v>522</v>
      </c>
      <c r="D146" s="1" t="s">
        <v>12</v>
      </c>
      <c r="E146" s="3">
        <v>5145.0</v>
      </c>
    </row>
    <row r="147">
      <c r="A147" s="1" t="s">
        <v>523</v>
      </c>
      <c r="B147" s="1" t="s">
        <v>524</v>
      </c>
      <c r="C147" s="1" t="s">
        <v>525</v>
      </c>
      <c r="D147" s="1" t="s">
        <v>12</v>
      </c>
      <c r="E147" s="3">
        <v>5146.0</v>
      </c>
    </row>
    <row r="148">
      <c r="A148" s="1" t="s">
        <v>527</v>
      </c>
      <c r="B148" s="1" t="s">
        <v>528</v>
      </c>
      <c r="C148" s="1" t="s">
        <v>529</v>
      </c>
      <c r="D148" s="1" t="s">
        <v>8</v>
      </c>
      <c r="E148" s="3">
        <v>5147.0</v>
      </c>
    </row>
    <row r="149">
      <c r="A149" s="1" t="s">
        <v>530</v>
      </c>
      <c r="B149" s="1" t="s">
        <v>531</v>
      </c>
      <c r="C149" s="1" t="s">
        <v>532</v>
      </c>
      <c r="D149" s="1" t="s">
        <v>23</v>
      </c>
      <c r="E149" s="3">
        <v>5148.0</v>
      </c>
    </row>
    <row r="150">
      <c r="A150" s="1" t="s">
        <v>533</v>
      </c>
      <c r="B150" s="1" t="s">
        <v>534</v>
      </c>
      <c r="C150" s="1" t="s">
        <v>535</v>
      </c>
      <c r="D150" s="1" t="s">
        <v>12</v>
      </c>
      <c r="E150" s="3">
        <v>5149.0</v>
      </c>
    </row>
    <row r="151">
      <c r="A151" s="1" t="s">
        <v>536</v>
      </c>
      <c r="B151" s="1" t="s">
        <v>537</v>
      </c>
      <c r="C151" s="1" t="s">
        <v>538</v>
      </c>
      <c r="D151" s="1" t="s">
        <v>539</v>
      </c>
      <c r="E151" s="3">
        <v>5150.0</v>
      </c>
    </row>
    <row r="152">
      <c r="A152" s="1" t="s">
        <v>541</v>
      </c>
      <c r="B152" s="1" t="s">
        <v>542</v>
      </c>
      <c r="C152" s="1" t="s">
        <v>543</v>
      </c>
      <c r="D152" s="1" t="s">
        <v>12</v>
      </c>
      <c r="E152" s="3">
        <v>5151.0</v>
      </c>
    </row>
    <row r="153">
      <c r="A153" s="1" t="s">
        <v>544</v>
      </c>
      <c r="B153" s="1" t="s">
        <v>545</v>
      </c>
      <c r="C153" s="1" t="s">
        <v>546</v>
      </c>
      <c r="D153" s="1" t="s">
        <v>63</v>
      </c>
      <c r="E153" s="3">
        <v>5152.0</v>
      </c>
    </row>
    <row r="154">
      <c r="A154" s="1" t="s">
        <v>547</v>
      </c>
      <c r="B154" s="1" t="s">
        <v>548</v>
      </c>
      <c r="C154" s="1" t="s">
        <v>549</v>
      </c>
      <c r="D154" s="1" t="s">
        <v>12</v>
      </c>
      <c r="E154" s="3">
        <v>5153.0</v>
      </c>
    </row>
    <row r="155">
      <c r="A155" s="1" t="s">
        <v>550</v>
      </c>
      <c r="B155" s="1" t="s">
        <v>551</v>
      </c>
      <c r="C155" s="1" t="s">
        <v>552</v>
      </c>
      <c r="D155" s="1" t="s">
        <v>12</v>
      </c>
      <c r="E155" s="3">
        <v>5154.0</v>
      </c>
    </row>
    <row r="156">
      <c r="A156" s="1" t="s">
        <v>553</v>
      </c>
      <c r="B156" s="1" t="s">
        <v>554</v>
      </c>
      <c r="C156" s="1" t="s">
        <v>555</v>
      </c>
      <c r="D156" s="1" t="s">
        <v>23</v>
      </c>
      <c r="E156" s="3">
        <v>5155.0</v>
      </c>
    </row>
    <row r="157">
      <c r="A157" s="1" t="s">
        <v>556</v>
      </c>
      <c r="B157" s="1" t="s">
        <v>557</v>
      </c>
      <c r="C157" s="1" t="s">
        <v>558</v>
      </c>
      <c r="D157" s="1" t="s">
        <v>23</v>
      </c>
      <c r="E157" s="3">
        <v>5156.0</v>
      </c>
    </row>
    <row r="158">
      <c r="A158" s="1" t="s">
        <v>560</v>
      </c>
      <c r="B158" s="1" t="s">
        <v>561</v>
      </c>
      <c r="C158" s="1" t="s">
        <v>562</v>
      </c>
      <c r="D158" s="1" t="s">
        <v>98</v>
      </c>
      <c r="E158" s="3">
        <v>5157.0</v>
      </c>
    </row>
    <row r="159">
      <c r="A159" s="1" t="s">
        <v>563</v>
      </c>
      <c r="B159" s="1" t="s">
        <v>564</v>
      </c>
      <c r="C159" s="1" t="s">
        <v>565</v>
      </c>
      <c r="D159" s="1" t="s">
        <v>12</v>
      </c>
      <c r="E159" s="3">
        <v>5158.0</v>
      </c>
    </row>
    <row r="160">
      <c r="A160" s="1" t="s">
        <v>566</v>
      </c>
      <c r="B160" s="1" t="s">
        <v>567</v>
      </c>
      <c r="C160" s="1" t="s">
        <v>568</v>
      </c>
      <c r="D160" s="1" t="s">
        <v>23</v>
      </c>
      <c r="E160" s="3">
        <v>5159.0</v>
      </c>
    </row>
    <row r="161">
      <c r="A161" s="1" t="s">
        <v>569</v>
      </c>
      <c r="B161" s="1" t="s">
        <v>570</v>
      </c>
      <c r="C161" s="1" t="s">
        <v>571</v>
      </c>
      <c r="D161" s="1" t="s">
        <v>12</v>
      </c>
      <c r="E161" s="3">
        <v>5160.0</v>
      </c>
    </row>
    <row r="162">
      <c r="A162" s="1" t="s">
        <v>573</v>
      </c>
      <c r="B162" s="1" t="s">
        <v>574</v>
      </c>
      <c r="C162" s="1" t="s">
        <v>575</v>
      </c>
      <c r="D162" s="1" t="s">
        <v>23</v>
      </c>
      <c r="E162" s="3">
        <v>5161.0</v>
      </c>
    </row>
    <row r="163">
      <c r="A163" s="1" t="s">
        <v>576</v>
      </c>
      <c r="B163" s="1" t="s">
        <v>577</v>
      </c>
      <c r="C163" s="1" t="s">
        <v>578</v>
      </c>
      <c r="D163" s="1" t="s">
        <v>23</v>
      </c>
      <c r="E163" s="3">
        <v>5162.0</v>
      </c>
    </row>
    <row r="164">
      <c r="A164" s="1" t="s">
        <v>579</v>
      </c>
      <c r="B164" s="1" t="s">
        <v>580</v>
      </c>
      <c r="C164" s="1" t="s">
        <v>581</v>
      </c>
      <c r="D164" s="1" t="s">
        <v>12</v>
      </c>
      <c r="E164" s="3">
        <v>5163.0</v>
      </c>
    </row>
    <row r="165">
      <c r="A165" s="1" t="s">
        <v>582</v>
      </c>
      <c r="B165" s="1" t="s">
        <v>583</v>
      </c>
      <c r="C165" s="1" t="s">
        <v>584</v>
      </c>
      <c r="D165" s="1" t="s">
        <v>12</v>
      </c>
      <c r="E165" s="3">
        <v>5164.0</v>
      </c>
    </row>
    <row r="166">
      <c r="A166" s="1" t="s">
        <v>586</v>
      </c>
      <c r="B166" s="1" t="s">
        <v>587</v>
      </c>
      <c r="C166" s="1" t="s">
        <v>588</v>
      </c>
      <c r="D166" s="1" t="s">
        <v>23</v>
      </c>
      <c r="E166" s="3">
        <v>5165.0</v>
      </c>
    </row>
    <row r="167">
      <c r="A167" s="1" t="s">
        <v>589</v>
      </c>
      <c r="B167" s="1" t="s">
        <v>590</v>
      </c>
      <c r="C167" s="1" t="s">
        <v>591</v>
      </c>
      <c r="D167" s="1" t="s">
        <v>8</v>
      </c>
      <c r="E167" s="3">
        <v>5166.0</v>
      </c>
    </row>
    <row r="168">
      <c r="A168" s="1" t="s">
        <v>592</v>
      </c>
      <c r="B168" s="1" t="s">
        <v>593</v>
      </c>
      <c r="C168" s="1" t="s">
        <v>594</v>
      </c>
      <c r="D168" s="1" t="s">
        <v>8</v>
      </c>
      <c r="E168" s="3">
        <v>5167.0</v>
      </c>
    </row>
    <row r="169">
      <c r="A169" s="1" t="s">
        <v>595</v>
      </c>
      <c r="B169" s="1" t="s">
        <v>596</v>
      </c>
      <c r="C169" s="1" t="s">
        <v>597</v>
      </c>
      <c r="D169" s="1" t="s">
        <v>23</v>
      </c>
      <c r="E169" s="3">
        <v>5168.0</v>
      </c>
    </row>
    <row r="170">
      <c r="A170" s="1" t="s">
        <v>599</v>
      </c>
      <c r="B170" s="1" t="s">
        <v>600</v>
      </c>
      <c r="C170" s="1" t="s">
        <v>601</v>
      </c>
      <c r="D170" s="1" t="s">
        <v>8</v>
      </c>
      <c r="E170" s="3">
        <v>5169.0</v>
      </c>
    </row>
    <row r="171">
      <c r="A171" s="1" t="s">
        <v>602</v>
      </c>
      <c r="B171" s="1" t="s">
        <v>603</v>
      </c>
      <c r="C171" s="1" t="s">
        <v>604</v>
      </c>
      <c r="D171" s="1" t="s">
        <v>12</v>
      </c>
      <c r="E171" s="3">
        <v>5170.0</v>
      </c>
    </row>
    <row r="172">
      <c r="A172" s="1" t="s">
        <v>605</v>
      </c>
      <c r="B172" s="1" t="s">
        <v>607</v>
      </c>
      <c r="C172" s="1" t="s">
        <v>608</v>
      </c>
      <c r="D172" s="1" t="s">
        <v>12</v>
      </c>
      <c r="E172" s="3">
        <v>5171.0</v>
      </c>
    </row>
    <row r="173">
      <c r="A173" s="1" t="s">
        <v>609</v>
      </c>
      <c r="B173" s="1" t="s">
        <v>611</v>
      </c>
      <c r="C173" s="1" t="s">
        <v>612</v>
      </c>
      <c r="D173" s="1" t="s">
        <v>12</v>
      </c>
      <c r="E173" s="3">
        <v>5172.0</v>
      </c>
    </row>
    <row r="174">
      <c r="A174" s="1" t="s">
        <v>613</v>
      </c>
      <c r="B174" s="1" t="s">
        <v>614</v>
      </c>
      <c r="C174" s="1" t="s">
        <v>615</v>
      </c>
      <c r="D174" s="1" t="s">
        <v>8</v>
      </c>
      <c r="E174" s="3">
        <v>5173.0</v>
      </c>
    </row>
    <row r="175">
      <c r="A175" s="1" t="s">
        <v>616</v>
      </c>
      <c r="B175" s="1" t="s">
        <v>617</v>
      </c>
      <c r="C175" s="1" t="s">
        <v>618</v>
      </c>
      <c r="D175" s="1" t="s">
        <v>12</v>
      </c>
      <c r="E175" s="3">
        <v>5174.0</v>
      </c>
    </row>
    <row r="176">
      <c r="A176" s="1" t="s">
        <v>619</v>
      </c>
      <c r="B176" s="1" t="s">
        <v>620</v>
      </c>
      <c r="C176" s="1" t="s">
        <v>621</v>
      </c>
      <c r="D176" s="1" t="s">
        <v>98</v>
      </c>
      <c r="E176" s="3">
        <v>5175.0</v>
      </c>
    </row>
    <row r="177">
      <c r="A177" s="1" t="s">
        <v>622</v>
      </c>
      <c r="B177" s="1" t="s">
        <v>623</v>
      </c>
      <c r="C177" s="1" t="s">
        <v>624</v>
      </c>
      <c r="D177" s="1" t="s">
        <v>63</v>
      </c>
      <c r="E177" s="3">
        <v>5176.0</v>
      </c>
    </row>
    <row r="178">
      <c r="A178" s="1" t="s">
        <v>626</v>
      </c>
      <c r="B178" s="1" t="s">
        <v>627</v>
      </c>
      <c r="C178" s="1" t="s">
        <v>628</v>
      </c>
      <c r="D178" s="1" t="s">
        <v>12</v>
      </c>
      <c r="E178" s="3">
        <v>5177.0</v>
      </c>
    </row>
    <row r="179">
      <c r="A179" s="1" t="s">
        <v>629</v>
      </c>
      <c r="B179" s="1" t="s">
        <v>630</v>
      </c>
      <c r="C179" s="1" t="s">
        <v>631</v>
      </c>
      <c r="D179" s="1" t="s">
        <v>98</v>
      </c>
      <c r="E179" s="3">
        <v>5178.0</v>
      </c>
    </row>
    <row r="180">
      <c r="A180" s="1" t="s">
        <v>632</v>
      </c>
      <c r="B180" s="1" t="s">
        <v>633</v>
      </c>
      <c r="C180" s="1" t="s">
        <v>634</v>
      </c>
      <c r="D180" s="1" t="s">
        <v>23</v>
      </c>
      <c r="E180" s="3">
        <v>5179.0</v>
      </c>
    </row>
    <row r="181">
      <c r="A181" s="1" t="s">
        <v>636</v>
      </c>
      <c r="B181" s="1" t="s">
        <v>637</v>
      </c>
      <c r="C181" s="1" t="s">
        <v>638</v>
      </c>
      <c r="D181" s="1" t="s">
        <v>12</v>
      </c>
      <c r="E181" s="3">
        <v>5180.0</v>
      </c>
    </row>
    <row r="182">
      <c r="A182" s="1" t="s">
        <v>640</v>
      </c>
      <c r="B182" s="1" t="s">
        <v>641</v>
      </c>
      <c r="C182" s="1" t="s">
        <v>642</v>
      </c>
      <c r="D182" s="1" t="s">
        <v>12</v>
      </c>
      <c r="E182" s="3">
        <v>5181.0</v>
      </c>
    </row>
    <row r="183">
      <c r="A183" s="1" t="s">
        <v>643</v>
      </c>
      <c r="B183" s="1" t="s">
        <v>644</v>
      </c>
      <c r="C183" s="1" t="s">
        <v>645</v>
      </c>
      <c r="D183" s="1" t="s">
        <v>8</v>
      </c>
      <c r="E183" s="3">
        <v>5182.0</v>
      </c>
    </row>
    <row r="184">
      <c r="A184" s="1" t="s">
        <v>646</v>
      </c>
      <c r="B184" s="1" t="s">
        <v>647</v>
      </c>
      <c r="C184" s="1" t="s">
        <v>648</v>
      </c>
      <c r="D184" s="1" t="s">
        <v>12</v>
      </c>
      <c r="E184" s="3">
        <v>5183.0</v>
      </c>
    </row>
    <row r="185">
      <c r="A185" s="1" t="s">
        <v>649</v>
      </c>
      <c r="B185" s="1" t="s">
        <v>650</v>
      </c>
      <c r="C185" s="1" t="s">
        <v>651</v>
      </c>
      <c r="D185" s="1" t="s">
        <v>23</v>
      </c>
      <c r="E185" s="3">
        <v>5184.0</v>
      </c>
    </row>
    <row r="186">
      <c r="A186" s="1" t="s">
        <v>653</v>
      </c>
      <c r="B186" s="1" t="s">
        <v>654</v>
      </c>
      <c r="C186" s="1" t="s">
        <v>655</v>
      </c>
      <c r="D186" s="1" t="s">
        <v>8</v>
      </c>
      <c r="E186" s="3">
        <v>5185.0</v>
      </c>
    </row>
    <row r="187">
      <c r="A187" s="1" t="s">
        <v>657</v>
      </c>
      <c r="B187" s="1" t="s">
        <v>658</v>
      </c>
      <c r="C187" s="1" t="s">
        <v>659</v>
      </c>
      <c r="D187" s="1" t="s">
        <v>23</v>
      </c>
      <c r="E187" s="3">
        <v>5186.0</v>
      </c>
    </row>
    <row r="188">
      <c r="A188" s="1" t="s">
        <v>660</v>
      </c>
      <c r="B188" s="1" t="s">
        <v>661</v>
      </c>
      <c r="C188" s="1" t="s">
        <v>662</v>
      </c>
      <c r="D188" s="1" t="s">
        <v>63</v>
      </c>
      <c r="E188" s="3">
        <v>5187.0</v>
      </c>
    </row>
    <row r="189">
      <c r="A189" s="1" t="s">
        <v>664</v>
      </c>
      <c r="B189" s="1" t="s">
        <v>665</v>
      </c>
      <c r="C189" s="1" t="s">
        <v>666</v>
      </c>
      <c r="D189" s="1" t="s">
        <v>667</v>
      </c>
      <c r="E189" s="3">
        <v>5188.0</v>
      </c>
    </row>
    <row r="190">
      <c r="A190" s="1" t="s">
        <v>668</v>
      </c>
      <c r="B190" s="1" t="s">
        <v>669</v>
      </c>
      <c r="C190" s="1" t="s">
        <v>671</v>
      </c>
      <c r="D190" s="1" t="s">
        <v>12</v>
      </c>
      <c r="E190" s="3">
        <v>5189.0</v>
      </c>
    </row>
    <row r="191">
      <c r="A191" s="1" t="s">
        <v>672</v>
      </c>
      <c r="B191" s="1" t="s">
        <v>673</v>
      </c>
      <c r="C191" s="1" t="s">
        <v>674</v>
      </c>
      <c r="D191" s="1" t="s">
        <v>23</v>
      </c>
      <c r="E191" s="3">
        <v>5190.0</v>
      </c>
    </row>
    <row r="192">
      <c r="A192" s="1" t="s">
        <v>675</v>
      </c>
      <c r="B192" s="1" t="s">
        <v>676</v>
      </c>
      <c r="C192" s="1" t="s">
        <v>677</v>
      </c>
      <c r="D192" s="1" t="s">
        <v>12</v>
      </c>
      <c r="E192" s="3">
        <v>5191.0</v>
      </c>
    </row>
    <row r="193">
      <c r="A193" s="1" t="s">
        <v>679</v>
      </c>
      <c r="B193" s="1" t="s">
        <v>680</v>
      </c>
      <c r="C193" s="1" t="s">
        <v>681</v>
      </c>
      <c r="D193" s="1" t="s">
        <v>12</v>
      </c>
      <c r="E193" s="3">
        <v>5192.0</v>
      </c>
    </row>
    <row r="194">
      <c r="A194" s="1" t="s">
        <v>682</v>
      </c>
      <c r="B194" s="1" t="s">
        <v>683</v>
      </c>
      <c r="C194" s="1" t="s">
        <v>684</v>
      </c>
      <c r="D194" s="1" t="s">
        <v>23</v>
      </c>
      <c r="E194" s="3">
        <v>5193.0</v>
      </c>
    </row>
    <row r="195">
      <c r="A195" s="1" t="s">
        <v>685</v>
      </c>
      <c r="B195" s="1" t="s">
        <v>686</v>
      </c>
      <c r="C195" s="1" t="s">
        <v>687</v>
      </c>
      <c r="D195" s="1" t="s">
        <v>12</v>
      </c>
      <c r="E195" s="3">
        <v>5194.0</v>
      </c>
    </row>
    <row r="196">
      <c r="A196" s="1" t="s">
        <v>688</v>
      </c>
      <c r="B196" s="1" t="s">
        <v>689</v>
      </c>
      <c r="C196" s="1" t="s">
        <v>690</v>
      </c>
      <c r="D196" s="1" t="s">
        <v>23</v>
      </c>
      <c r="E196" s="3">
        <v>5195.0</v>
      </c>
    </row>
    <row r="197">
      <c r="A197" s="1" t="s">
        <v>692</v>
      </c>
      <c r="B197" s="1" t="s">
        <v>693</v>
      </c>
      <c r="C197" s="1" t="s">
        <v>694</v>
      </c>
      <c r="D197" s="1" t="s">
        <v>12</v>
      </c>
      <c r="E197" s="3">
        <v>5196.0</v>
      </c>
    </row>
    <row r="198">
      <c r="A198" s="1" t="s">
        <v>695</v>
      </c>
      <c r="B198" s="1" t="s">
        <v>696</v>
      </c>
      <c r="C198" s="1" t="s">
        <v>697</v>
      </c>
      <c r="D198" s="1" t="s">
        <v>98</v>
      </c>
      <c r="E198" s="3">
        <v>5197.0</v>
      </c>
    </row>
    <row r="199">
      <c r="A199" s="1" t="s">
        <v>698</v>
      </c>
      <c r="B199" s="1" t="s">
        <v>700</v>
      </c>
      <c r="C199" s="1" t="s">
        <v>701</v>
      </c>
      <c r="D199" s="1" t="s">
        <v>8</v>
      </c>
      <c r="E199" s="3">
        <v>5198.0</v>
      </c>
    </row>
    <row r="200">
      <c r="A200" s="1" t="s">
        <v>702</v>
      </c>
      <c r="B200" s="1" t="s">
        <v>703</v>
      </c>
      <c r="C200" s="1" t="s">
        <v>705</v>
      </c>
      <c r="D200" s="1" t="s">
        <v>98</v>
      </c>
      <c r="E200" s="3">
        <v>5199.0</v>
      </c>
    </row>
    <row r="201">
      <c r="A201" s="1" t="s">
        <v>706</v>
      </c>
      <c r="B201" s="1" t="s">
        <v>707</v>
      </c>
      <c r="C201" s="1" t="s">
        <v>708</v>
      </c>
      <c r="D201" s="1" t="s">
        <v>12</v>
      </c>
      <c r="E201" s="3">
        <v>5200.0</v>
      </c>
    </row>
    <row r="202">
      <c r="A202" s="1" t="s">
        <v>709</v>
      </c>
      <c r="B202" s="1" t="s">
        <v>710</v>
      </c>
      <c r="C202" s="1" t="s">
        <v>711</v>
      </c>
      <c r="D202" s="1" t="s">
        <v>242</v>
      </c>
      <c r="E202" s="3">
        <v>5201.0</v>
      </c>
    </row>
    <row r="203">
      <c r="A203" s="1" t="s">
        <v>712</v>
      </c>
      <c r="B203" s="1" t="s">
        <v>713</v>
      </c>
      <c r="C203" s="1" t="s">
        <v>714</v>
      </c>
      <c r="D203" s="1" t="s">
        <v>12</v>
      </c>
      <c r="E203" s="3">
        <v>5202.0</v>
      </c>
    </row>
    <row r="204">
      <c r="A204" s="1" t="s">
        <v>715</v>
      </c>
      <c r="B204" s="1" t="s">
        <v>716</v>
      </c>
      <c r="C204" s="1" t="s">
        <v>717</v>
      </c>
      <c r="D204" s="1" t="s">
        <v>8</v>
      </c>
      <c r="E204" s="3">
        <v>5203.0</v>
      </c>
    </row>
    <row r="205">
      <c r="A205" s="1" t="s">
        <v>718</v>
      </c>
      <c r="B205" s="1" t="s">
        <v>719</v>
      </c>
      <c r="C205" s="1" t="s">
        <v>721</v>
      </c>
      <c r="D205" s="1" t="s">
        <v>8</v>
      </c>
      <c r="E205" s="3">
        <v>5204.0</v>
      </c>
    </row>
    <row r="206">
      <c r="A206" s="1" t="s">
        <v>722</v>
      </c>
      <c r="B206" s="1" t="s">
        <v>723</v>
      </c>
      <c r="C206" s="1" t="s">
        <v>724</v>
      </c>
      <c r="D206" s="1" t="s">
        <v>12</v>
      </c>
      <c r="E206" s="3">
        <v>5205.0</v>
      </c>
    </row>
    <row r="207">
      <c r="A207" s="1" t="s">
        <v>725</v>
      </c>
      <c r="B207" s="1" t="s">
        <v>726</v>
      </c>
      <c r="C207" s="1" t="s">
        <v>727</v>
      </c>
      <c r="D207" s="1" t="s">
        <v>23</v>
      </c>
      <c r="E207" s="3">
        <v>5206.0</v>
      </c>
    </row>
    <row r="208">
      <c r="A208" s="1" t="s">
        <v>728</v>
      </c>
      <c r="B208" s="1" t="s">
        <v>729</v>
      </c>
      <c r="C208" s="1" t="s">
        <v>731</v>
      </c>
      <c r="D208" s="1" t="s">
        <v>732</v>
      </c>
      <c r="E208" s="3">
        <v>5207.0</v>
      </c>
    </row>
    <row r="209">
      <c r="A209" s="1" t="s">
        <v>733</v>
      </c>
      <c r="B209" s="1" t="s">
        <v>734</v>
      </c>
      <c r="C209" s="1" t="s">
        <v>735</v>
      </c>
      <c r="D209" s="1" t="s">
        <v>12</v>
      </c>
      <c r="E209" s="3">
        <v>5208.0</v>
      </c>
    </row>
    <row r="210">
      <c r="A210" s="1" t="s">
        <v>737</v>
      </c>
      <c r="B210" s="1" t="s">
        <v>738</v>
      </c>
      <c r="C210" s="1" t="s">
        <v>739</v>
      </c>
      <c r="D210" s="1" t="s">
        <v>741</v>
      </c>
      <c r="E210" s="3">
        <v>5209.0</v>
      </c>
    </row>
    <row r="211">
      <c r="A211" s="1" t="s">
        <v>742</v>
      </c>
      <c r="B211" s="1" t="s">
        <v>743</v>
      </c>
      <c r="C211" s="1" t="s">
        <v>744</v>
      </c>
      <c r="D211" s="1" t="s">
        <v>12</v>
      </c>
      <c r="E211" s="3">
        <v>5210.0</v>
      </c>
    </row>
    <row r="212">
      <c r="A212" s="1" t="s">
        <v>745</v>
      </c>
      <c r="B212" s="1" t="s">
        <v>746</v>
      </c>
      <c r="C212" s="1" t="s">
        <v>747</v>
      </c>
      <c r="D212" s="1" t="s">
        <v>8</v>
      </c>
      <c r="E212" s="3">
        <v>5211.0</v>
      </c>
    </row>
    <row r="213">
      <c r="A213" s="1" t="s">
        <v>748</v>
      </c>
      <c r="B213" s="1" t="s">
        <v>749</v>
      </c>
      <c r="C213" s="1" t="s">
        <v>751</v>
      </c>
      <c r="D213" s="1" t="s">
        <v>12</v>
      </c>
      <c r="E213" s="3">
        <v>5212.0</v>
      </c>
    </row>
    <row r="214">
      <c r="A214" s="1" t="s">
        <v>752</v>
      </c>
      <c r="B214" s="1" t="s">
        <v>753</v>
      </c>
      <c r="C214" s="1" t="s">
        <v>754</v>
      </c>
      <c r="D214" s="1" t="s">
        <v>8</v>
      </c>
      <c r="E214" s="3">
        <v>5213.0</v>
      </c>
    </row>
    <row r="215">
      <c r="A215" s="1" t="s">
        <v>755</v>
      </c>
      <c r="B215" s="1" t="s">
        <v>756</v>
      </c>
      <c r="C215" s="1" t="s">
        <v>757</v>
      </c>
      <c r="D215" s="1" t="s">
        <v>80</v>
      </c>
      <c r="E215" s="3">
        <v>5214.0</v>
      </c>
    </row>
    <row r="216">
      <c r="A216" s="1" t="s">
        <v>759</v>
      </c>
      <c r="B216" s="1" t="s">
        <v>760</v>
      </c>
      <c r="C216" s="1" t="s">
        <v>761</v>
      </c>
      <c r="D216" s="1" t="s">
        <v>12</v>
      </c>
      <c r="E216" s="3">
        <v>5215.0</v>
      </c>
    </row>
    <row r="217">
      <c r="A217" s="1" t="s">
        <v>762</v>
      </c>
      <c r="B217" s="1" t="s">
        <v>763</v>
      </c>
      <c r="C217" s="1" t="s">
        <v>764</v>
      </c>
      <c r="D217" s="1" t="s">
        <v>12</v>
      </c>
      <c r="E217" s="3">
        <v>5216.0</v>
      </c>
    </row>
    <row r="218">
      <c r="A218" s="1" t="s">
        <v>765</v>
      </c>
      <c r="B218" s="1" t="s">
        <v>767</v>
      </c>
      <c r="C218" s="1" t="s">
        <v>768</v>
      </c>
      <c r="D218" s="1" t="s">
        <v>12</v>
      </c>
      <c r="E218" s="3">
        <v>5217.0</v>
      </c>
    </row>
    <row r="219">
      <c r="A219" s="1" t="s">
        <v>770</v>
      </c>
      <c r="B219" s="1" t="s">
        <v>771</v>
      </c>
      <c r="C219" s="1" t="s">
        <v>772</v>
      </c>
      <c r="D219" s="1" t="s">
        <v>539</v>
      </c>
      <c r="E219" s="3">
        <v>5218.0</v>
      </c>
    </row>
    <row r="220">
      <c r="A220" s="1" t="s">
        <v>773</v>
      </c>
      <c r="B220" s="1" t="s">
        <v>774</v>
      </c>
      <c r="C220" s="1" t="s">
        <v>775</v>
      </c>
      <c r="D220" s="1" t="s">
        <v>23</v>
      </c>
      <c r="E220" s="3">
        <v>5219.0</v>
      </c>
    </row>
    <row r="221">
      <c r="A221" s="1" t="s">
        <v>776</v>
      </c>
      <c r="B221" s="1" t="s">
        <v>777</v>
      </c>
      <c r="C221" s="1" t="s">
        <v>778</v>
      </c>
      <c r="D221" s="1" t="s">
        <v>23</v>
      </c>
      <c r="E221" s="3">
        <v>5220.0</v>
      </c>
    </row>
    <row r="222">
      <c r="A222" s="1" t="s">
        <v>779</v>
      </c>
      <c r="B222" s="1" t="s">
        <v>780</v>
      </c>
      <c r="C222" s="1" t="s">
        <v>781</v>
      </c>
      <c r="D222" s="1" t="s">
        <v>80</v>
      </c>
      <c r="E222" s="3">
        <v>5221.0</v>
      </c>
    </row>
    <row r="223">
      <c r="A223" s="1" t="s">
        <v>782</v>
      </c>
      <c r="B223" s="1" t="s">
        <v>783</v>
      </c>
      <c r="C223" s="1" t="s">
        <v>784</v>
      </c>
      <c r="D223" s="1" t="s">
        <v>12</v>
      </c>
      <c r="E223" s="3">
        <v>5222.0</v>
      </c>
    </row>
    <row r="224">
      <c r="A224" s="1" t="s">
        <v>786</v>
      </c>
      <c r="B224" s="1" t="s">
        <v>787</v>
      </c>
      <c r="C224" s="1" t="s">
        <v>788</v>
      </c>
      <c r="D224" s="1" t="s">
        <v>12</v>
      </c>
      <c r="E224" s="3">
        <v>5223.0</v>
      </c>
    </row>
    <row r="225">
      <c r="A225" s="1" t="s">
        <v>789</v>
      </c>
      <c r="B225" s="1" t="s">
        <v>790</v>
      </c>
      <c r="C225" s="1" t="s">
        <v>791</v>
      </c>
      <c r="D225" s="1" t="s">
        <v>23</v>
      </c>
      <c r="E225" s="3">
        <v>5224.0</v>
      </c>
    </row>
    <row r="226">
      <c r="A226" s="1" t="s">
        <v>792</v>
      </c>
      <c r="B226" s="1" t="s">
        <v>793</v>
      </c>
      <c r="C226" s="1" t="s">
        <v>794</v>
      </c>
      <c r="D226" s="1" t="s">
        <v>23</v>
      </c>
      <c r="E226" s="3">
        <v>5225.0</v>
      </c>
    </row>
    <row r="227">
      <c r="A227" s="1" t="s">
        <v>795</v>
      </c>
      <c r="B227" s="1" t="s">
        <v>796</v>
      </c>
      <c r="C227" s="1" t="s">
        <v>797</v>
      </c>
      <c r="D227" s="1" t="s">
        <v>12</v>
      </c>
      <c r="E227" s="3">
        <v>5226.0</v>
      </c>
    </row>
    <row r="228">
      <c r="A228" s="1" t="s">
        <v>799</v>
      </c>
      <c r="B228" s="1" t="s">
        <v>800</v>
      </c>
      <c r="C228" s="1" t="s">
        <v>801</v>
      </c>
      <c r="D228" s="1" t="s">
        <v>23</v>
      </c>
      <c r="E228" s="3">
        <v>5227.0</v>
      </c>
    </row>
    <row r="229">
      <c r="A229" s="1" t="s">
        <v>802</v>
      </c>
      <c r="B229" s="1" t="s">
        <v>804</v>
      </c>
      <c r="C229" s="1" t="s">
        <v>805</v>
      </c>
      <c r="D229" s="1" t="s">
        <v>98</v>
      </c>
      <c r="E229" s="3">
        <v>5228.0</v>
      </c>
    </row>
    <row r="230">
      <c r="A230" s="1" t="s">
        <v>807</v>
      </c>
      <c r="B230" s="1" t="s">
        <v>808</v>
      </c>
      <c r="C230" s="1" t="s">
        <v>809</v>
      </c>
      <c r="D230" s="1" t="s">
        <v>98</v>
      </c>
      <c r="E230" s="3">
        <v>5229.0</v>
      </c>
    </row>
    <row r="231">
      <c r="A231" s="1" t="s">
        <v>810</v>
      </c>
      <c r="B231" s="1" t="s">
        <v>811</v>
      </c>
      <c r="C231" s="1" t="s">
        <v>812</v>
      </c>
      <c r="D231" s="1" t="s">
        <v>98</v>
      </c>
      <c r="E231" s="3">
        <v>5230.0</v>
      </c>
    </row>
    <row r="232">
      <c r="A232" s="1" t="s">
        <v>813</v>
      </c>
      <c r="B232" s="1" t="s">
        <v>814</v>
      </c>
      <c r="C232" s="1" t="s">
        <v>816</v>
      </c>
      <c r="D232" s="1" t="s">
        <v>12</v>
      </c>
      <c r="E232" s="3">
        <v>5231.0</v>
      </c>
    </row>
    <row r="233">
      <c r="A233" s="1" t="s">
        <v>817</v>
      </c>
      <c r="B233" s="1" t="s">
        <v>818</v>
      </c>
      <c r="C233" s="1" t="s">
        <v>819</v>
      </c>
      <c r="D233" s="1" t="s">
        <v>12</v>
      </c>
      <c r="E233" s="3">
        <v>5232.0</v>
      </c>
    </row>
    <row r="234">
      <c r="A234" s="1" t="s">
        <v>820</v>
      </c>
      <c r="B234" s="1" t="s">
        <v>821</v>
      </c>
      <c r="C234" s="1" t="s">
        <v>822</v>
      </c>
      <c r="D234" s="1" t="s">
        <v>8</v>
      </c>
      <c r="E234" s="3">
        <v>5233.0</v>
      </c>
    </row>
    <row r="235">
      <c r="A235" s="1" t="s">
        <v>823</v>
      </c>
      <c r="B235" s="1" t="s">
        <v>824</v>
      </c>
      <c r="C235" s="1" t="s">
        <v>825</v>
      </c>
      <c r="D235" s="1" t="s">
        <v>12</v>
      </c>
      <c r="E235" s="3">
        <v>5234.0</v>
      </c>
    </row>
    <row r="236">
      <c r="A236" s="1" t="s">
        <v>827</v>
      </c>
      <c r="B236" s="1" t="s">
        <v>828</v>
      </c>
      <c r="C236" s="1" t="s">
        <v>829</v>
      </c>
      <c r="D236" s="1" t="s">
        <v>23</v>
      </c>
      <c r="E236" s="3">
        <v>5235.0</v>
      </c>
    </row>
    <row r="237">
      <c r="A237" s="1" t="s">
        <v>830</v>
      </c>
      <c r="B237" s="1" t="s">
        <v>831</v>
      </c>
      <c r="C237" s="1" t="s">
        <v>833</v>
      </c>
      <c r="D237" s="1" t="s">
        <v>12</v>
      </c>
      <c r="E237" s="3">
        <v>5236.0</v>
      </c>
    </row>
    <row r="238">
      <c r="A238" s="1" t="s">
        <v>834</v>
      </c>
      <c r="B238" s="1" t="s">
        <v>836</v>
      </c>
      <c r="C238" s="1" t="s">
        <v>837</v>
      </c>
      <c r="D238" s="1" t="s">
        <v>12</v>
      </c>
      <c r="E238" s="3">
        <v>5237.0</v>
      </c>
    </row>
    <row r="239">
      <c r="A239" s="1" t="s">
        <v>839</v>
      </c>
      <c r="B239" s="1" t="s">
        <v>840</v>
      </c>
      <c r="C239" s="1" t="s">
        <v>841</v>
      </c>
      <c r="D239" s="1" t="s">
        <v>8</v>
      </c>
      <c r="E239" s="3">
        <v>5238.0</v>
      </c>
    </row>
    <row r="240">
      <c r="A240" s="1" t="s">
        <v>842</v>
      </c>
      <c r="B240" s="1" t="s">
        <v>843</v>
      </c>
      <c r="C240" s="1" t="s">
        <v>844</v>
      </c>
      <c r="D240" s="1" t="s">
        <v>12</v>
      </c>
      <c r="E240" s="3">
        <v>5239.0</v>
      </c>
    </row>
    <row r="241">
      <c r="A241" s="1" t="s">
        <v>845</v>
      </c>
      <c r="B241" s="1" t="s">
        <v>846</v>
      </c>
      <c r="C241" s="1" t="s">
        <v>847</v>
      </c>
      <c r="D241" s="1" t="s">
        <v>12</v>
      </c>
      <c r="E241" s="3">
        <v>5240.0</v>
      </c>
    </row>
    <row r="242">
      <c r="A242" s="1" t="s">
        <v>848</v>
      </c>
      <c r="B242" s="1" t="s">
        <v>849</v>
      </c>
      <c r="C242" s="1" t="s">
        <v>850</v>
      </c>
      <c r="D242" s="1" t="s">
        <v>56</v>
      </c>
      <c r="E242" s="3">
        <v>5241.0</v>
      </c>
    </row>
    <row r="243">
      <c r="A243" s="1" t="s">
        <v>851</v>
      </c>
      <c r="B243" s="1" t="s">
        <v>852</v>
      </c>
      <c r="C243" s="1" t="s">
        <v>853</v>
      </c>
      <c r="D243" s="1" t="s">
        <v>12</v>
      </c>
      <c r="E243" s="3">
        <v>5242.0</v>
      </c>
    </row>
    <row r="244">
      <c r="A244" s="1" t="s">
        <v>855</v>
      </c>
      <c r="B244" s="1" t="s">
        <v>856</v>
      </c>
      <c r="C244" s="1" t="s">
        <v>857</v>
      </c>
      <c r="D244" s="1" t="s">
        <v>98</v>
      </c>
      <c r="E244" s="3">
        <v>5243.0</v>
      </c>
    </row>
    <row r="245">
      <c r="A245" s="1" t="s">
        <v>859</v>
      </c>
      <c r="B245" s="1" t="s">
        <v>860</v>
      </c>
      <c r="C245" s="1" t="s">
        <v>862</v>
      </c>
      <c r="D245" s="1" t="s">
        <v>8</v>
      </c>
      <c r="E245" s="3">
        <v>5244.0</v>
      </c>
    </row>
    <row r="246">
      <c r="A246" s="1" t="s">
        <v>863</v>
      </c>
      <c r="B246" s="1" t="s">
        <v>864</v>
      </c>
      <c r="C246" s="1" t="s">
        <v>865</v>
      </c>
      <c r="D246" s="1" t="s">
        <v>12</v>
      </c>
      <c r="E246" s="3">
        <v>5245.0</v>
      </c>
    </row>
    <row r="247">
      <c r="A247" s="1" t="s">
        <v>866</v>
      </c>
      <c r="B247" s="1" t="s">
        <v>867</v>
      </c>
      <c r="C247" s="1" t="s">
        <v>868</v>
      </c>
      <c r="D247" s="1" t="s">
        <v>12</v>
      </c>
      <c r="E247" s="3">
        <v>5246.0</v>
      </c>
    </row>
    <row r="248">
      <c r="A248" s="1" t="s">
        <v>869</v>
      </c>
      <c r="B248" s="1" t="s">
        <v>870</v>
      </c>
      <c r="C248" s="1" t="s">
        <v>871</v>
      </c>
      <c r="D248" s="1" t="s">
        <v>23</v>
      </c>
      <c r="E248" s="3">
        <v>5247.0</v>
      </c>
    </row>
    <row r="249">
      <c r="A249" s="1" t="s">
        <v>873</v>
      </c>
      <c r="B249" s="1" t="s">
        <v>874</v>
      </c>
      <c r="C249" s="1" t="s">
        <v>875</v>
      </c>
      <c r="D249" s="1" t="s">
        <v>8</v>
      </c>
      <c r="E249" s="3">
        <v>5248.0</v>
      </c>
    </row>
    <row r="250">
      <c r="A250" s="1" t="s">
        <v>876</v>
      </c>
      <c r="B250" s="1" t="s">
        <v>877</v>
      </c>
      <c r="C250" s="1" t="s">
        <v>878</v>
      </c>
      <c r="D250" s="1" t="s">
        <v>8</v>
      </c>
      <c r="E250" s="3">
        <v>5249.0</v>
      </c>
    </row>
    <row r="251">
      <c r="A251" s="1" t="s">
        <v>880</v>
      </c>
      <c r="B251" s="1" t="s">
        <v>881</v>
      </c>
      <c r="C251" s="1" t="s">
        <v>882</v>
      </c>
      <c r="D251" s="1" t="s">
        <v>12</v>
      </c>
      <c r="E251" s="3">
        <v>5250.0</v>
      </c>
    </row>
    <row r="252">
      <c r="A252" s="1" t="s">
        <v>883</v>
      </c>
      <c r="B252" s="1" t="s">
        <v>884</v>
      </c>
      <c r="C252" s="1" t="s">
        <v>886</v>
      </c>
      <c r="D252" s="1" t="s">
        <v>23</v>
      </c>
      <c r="E252" s="3">
        <v>5251.0</v>
      </c>
    </row>
    <row r="253">
      <c r="A253" s="1" t="s">
        <v>887</v>
      </c>
      <c r="B253" s="1" t="s">
        <v>889</v>
      </c>
      <c r="C253" s="1" t="s">
        <v>890</v>
      </c>
      <c r="D253" s="1" t="s">
        <v>23</v>
      </c>
      <c r="E253" s="3">
        <v>5252.0</v>
      </c>
    </row>
    <row r="254">
      <c r="A254" s="1" t="s">
        <v>891</v>
      </c>
      <c r="B254" s="1" t="s">
        <v>892</v>
      </c>
      <c r="C254" s="1" t="s">
        <v>893</v>
      </c>
      <c r="D254" s="1" t="s">
        <v>894</v>
      </c>
      <c r="E254" s="3">
        <v>5253.0</v>
      </c>
    </row>
    <row r="255">
      <c r="A255" s="1" t="s">
        <v>895</v>
      </c>
      <c r="B255" s="1" t="s">
        <v>896</v>
      </c>
      <c r="C255" s="1" t="s">
        <v>897</v>
      </c>
      <c r="D255" s="1" t="s">
        <v>23</v>
      </c>
      <c r="E255" s="3">
        <v>5254.0</v>
      </c>
    </row>
    <row r="256">
      <c r="A256" s="1" t="s">
        <v>898</v>
      </c>
      <c r="B256" s="1" t="s">
        <v>900</v>
      </c>
      <c r="C256" s="1" t="s">
        <v>901</v>
      </c>
      <c r="D256" s="1" t="s">
        <v>98</v>
      </c>
      <c r="E256" s="3">
        <v>5255.0</v>
      </c>
    </row>
    <row r="257">
      <c r="A257" s="1" t="s">
        <v>902</v>
      </c>
      <c r="B257" s="1" t="s">
        <v>903</v>
      </c>
      <c r="C257" s="1" t="s">
        <v>904</v>
      </c>
      <c r="D257" s="1" t="s">
        <v>12</v>
      </c>
      <c r="E257" s="3">
        <v>5256.0</v>
      </c>
    </row>
    <row r="258">
      <c r="A258" s="1" t="s">
        <v>898</v>
      </c>
      <c r="B258" s="1" t="s">
        <v>900</v>
      </c>
      <c r="C258" s="1" t="s">
        <v>901</v>
      </c>
      <c r="D258" s="1" t="s">
        <v>98</v>
      </c>
      <c r="E258" s="3">
        <v>5257.0</v>
      </c>
    </row>
    <row r="259">
      <c r="A259" s="1" t="s">
        <v>905</v>
      </c>
      <c r="B259" s="1" t="s">
        <v>906</v>
      </c>
      <c r="C259" s="1" t="s">
        <v>907</v>
      </c>
      <c r="D259" s="1" t="s">
        <v>908</v>
      </c>
      <c r="E259" s="3">
        <v>5258.0</v>
      </c>
    </row>
    <row r="260">
      <c r="A260" s="1" t="s">
        <v>910</v>
      </c>
      <c r="B260" s="1" t="s">
        <v>911</v>
      </c>
      <c r="C260" s="1" t="s">
        <v>912</v>
      </c>
      <c r="D260" s="1" t="s">
        <v>12</v>
      </c>
      <c r="E260" s="3">
        <v>5259.0</v>
      </c>
    </row>
    <row r="261">
      <c r="A261" s="1" t="s">
        <v>913</v>
      </c>
      <c r="B261" s="1" t="s">
        <v>914</v>
      </c>
      <c r="C261" s="1" t="s">
        <v>915</v>
      </c>
      <c r="D261" s="1" t="s">
        <v>23</v>
      </c>
      <c r="E261" s="3">
        <v>5260.0</v>
      </c>
    </row>
    <row r="262">
      <c r="A262" s="1" t="s">
        <v>917</v>
      </c>
      <c r="B262" s="1" t="s">
        <v>918</v>
      </c>
      <c r="C262" s="1" t="s">
        <v>919</v>
      </c>
      <c r="D262" s="1" t="s">
        <v>23</v>
      </c>
      <c r="E262" s="3">
        <v>5261.0</v>
      </c>
    </row>
    <row r="263">
      <c r="A263" s="1" t="s">
        <v>920</v>
      </c>
      <c r="B263" s="1" t="s">
        <v>921</v>
      </c>
      <c r="C263" s="1" t="s">
        <v>922</v>
      </c>
      <c r="D263" s="1" t="s">
        <v>12</v>
      </c>
      <c r="E263" s="3">
        <v>5262.0</v>
      </c>
    </row>
    <row r="264">
      <c r="A264" s="1" t="s">
        <v>923</v>
      </c>
      <c r="B264" s="1" t="s">
        <v>924</v>
      </c>
      <c r="C264" s="1" t="s">
        <v>925</v>
      </c>
      <c r="D264" s="1" t="s">
        <v>8</v>
      </c>
      <c r="E264" s="3">
        <v>5263.0</v>
      </c>
    </row>
    <row r="265">
      <c r="A265" s="1" t="s">
        <v>926</v>
      </c>
      <c r="B265" s="1" t="s">
        <v>927</v>
      </c>
      <c r="C265" s="1" t="s">
        <v>928</v>
      </c>
      <c r="D265" s="1" t="s">
        <v>12</v>
      </c>
      <c r="E265" s="3">
        <v>5264.0</v>
      </c>
    </row>
    <row r="266">
      <c r="A266" s="1" t="s">
        <v>930</v>
      </c>
      <c r="B266" s="1" t="s">
        <v>931</v>
      </c>
      <c r="C266" s="1" t="s">
        <v>932</v>
      </c>
      <c r="D266" s="1" t="s">
        <v>23</v>
      </c>
      <c r="E266" s="3">
        <v>5265.0</v>
      </c>
    </row>
    <row r="267">
      <c r="A267" s="1" t="s">
        <v>933</v>
      </c>
      <c r="B267" s="1" t="s">
        <v>934</v>
      </c>
      <c r="C267" s="1" t="s">
        <v>935</v>
      </c>
      <c r="D267" s="1" t="s">
        <v>936</v>
      </c>
      <c r="E267" s="3">
        <v>5266.0</v>
      </c>
    </row>
    <row r="268">
      <c r="A268" s="1" t="s">
        <v>937</v>
      </c>
      <c r="B268" s="1" t="s">
        <v>938</v>
      </c>
      <c r="C268" s="1" t="s">
        <v>940</v>
      </c>
      <c r="D268" s="1" t="s">
        <v>63</v>
      </c>
      <c r="E268" s="3">
        <v>5267.0</v>
      </c>
    </row>
    <row r="269">
      <c r="A269" s="1" t="s">
        <v>941</v>
      </c>
      <c r="B269" s="1" t="s">
        <v>942</v>
      </c>
      <c r="C269" s="1" t="s">
        <v>943</v>
      </c>
      <c r="D269" s="1" t="s">
        <v>8</v>
      </c>
      <c r="E269" s="3">
        <v>5268.0</v>
      </c>
    </row>
    <row r="270">
      <c r="A270" s="1" t="s">
        <v>944</v>
      </c>
      <c r="B270" s="1" t="s">
        <v>946</v>
      </c>
      <c r="C270" s="1" t="s">
        <v>947</v>
      </c>
      <c r="D270" s="1" t="s">
        <v>23</v>
      </c>
      <c r="E270" s="3">
        <v>5269.0</v>
      </c>
    </row>
    <row r="271">
      <c r="A271" s="1" t="s">
        <v>949</v>
      </c>
      <c r="B271" s="1" t="s">
        <v>950</v>
      </c>
      <c r="C271" s="1" t="s">
        <v>951</v>
      </c>
      <c r="D271" s="1" t="s">
        <v>63</v>
      </c>
      <c r="E271" s="3">
        <v>5270.0</v>
      </c>
    </row>
    <row r="272">
      <c r="A272" s="1" t="s">
        <v>952</v>
      </c>
      <c r="B272" s="1" t="s">
        <v>953</v>
      </c>
      <c r="C272" s="1" t="s">
        <v>954</v>
      </c>
      <c r="D272" s="1" t="s">
        <v>955</v>
      </c>
      <c r="E272" s="3">
        <v>5271.0</v>
      </c>
    </row>
    <row r="273">
      <c r="A273" s="1" t="s">
        <v>956</v>
      </c>
      <c r="B273" s="1" t="s">
        <v>957</v>
      </c>
      <c r="C273" s="1" t="s">
        <v>958</v>
      </c>
      <c r="D273" s="1" t="s">
        <v>63</v>
      </c>
      <c r="E273" s="3">
        <v>5272.0</v>
      </c>
    </row>
    <row r="274">
      <c r="A274" s="1" t="s">
        <v>959</v>
      </c>
      <c r="B274" s="1" t="s">
        <v>960</v>
      </c>
      <c r="C274" s="1" t="s">
        <v>962</v>
      </c>
      <c r="D274" s="1" t="s">
        <v>23</v>
      </c>
      <c r="E274" s="3">
        <v>5273.0</v>
      </c>
    </row>
    <row r="275">
      <c r="A275" s="1" t="s">
        <v>963</v>
      </c>
      <c r="B275" s="1" t="s">
        <v>964</v>
      </c>
      <c r="C275" s="1" t="s">
        <v>965</v>
      </c>
      <c r="D275" s="1" t="s">
        <v>8</v>
      </c>
      <c r="E275" s="3">
        <v>5274.0</v>
      </c>
    </row>
    <row r="276">
      <c r="A276" s="1" t="s">
        <v>966</v>
      </c>
      <c r="B276" s="1" t="s">
        <v>967</v>
      </c>
      <c r="C276" s="1" t="s">
        <v>968</v>
      </c>
      <c r="D276" s="1" t="s">
        <v>8</v>
      </c>
      <c r="E276" s="3">
        <v>5275.0</v>
      </c>
    </row>
    <row r="277">
      <c r="A277" s="1" t="s">
        <v>970</v>
      </c>
      <c r="B277" s="1" t="s">
        <v>971</v>
      </c>
      <c r="C277" s="1" t="s">
        <v>972</v>
      </c>
      <c r="D277" s="1" t="s">
        <v>12</v>
      </c>
      <c r="E277" s="3">
        <v>5276.0</v>
      </c>
    </row>
    <row r="278">
      <c r="A278" s="1" t="s">
        <v>973</v>
      </c>
      <c r="B278" s="1" t="s">
        <v>974</v>
      </c>
      <c r="C278" s="1" t="s">
        <v>975</v>
      </c>
      <c r="D278" s="1" t="s">
        <v>12</v>
      </c>
      <c r="E278" s="3">
        <v>5277.0</v>
      </c>
    </row>
    <row r="279">
      <c r="A279" s="1" t="s">
        <v>977</v>
      </c>
      <c r="B279" s="1" t="s">
        <v>978</v>
      </c>
      <c r="C279" s="1" t="s">
        <v>979</v>
      </c>
      <c r="D279" s="1" t="s">
        <v>12</v>
      </c>
      <c r="E279" s="3">
        <v>5278.0</v>
      </c>
    </row>
    <row r="280">
      <c r="A280" s="1" t="s">
        <v>981</v>
      </c>
      <c r="B280" s="1" t="s">
        <v>982</v>
      </c>
      <c r="C280" s="1" t="s">
        <v>983</v>
      </c>
      <c r="D280" s="1" t="s">
        <v>12</v>
      </c>
      <c r="E280" s="3">
        <v>5279.0</v>
      </c>
    </row>
    <row r="281">
      <c r="A281" s="1" t="s">
        <v>984</v>
      </c>
      <c r="B281" s="1" t="s">
        <v>985</v>
      </c>
      <c r="C281" s="1" t="s">
        <v>986</v>
      </c>
      <c r="D281" s="1" t="s">
        <v>12</v>
      </c>
      <c r="E281" s="3">
        <v>5280.0</v>
      </c>
    </row>
    <row r="282">
      <c r="A282" s="1" t="s">
        <v>987</v>
      </c>
      <c r="B282" s="1" t="s">
        <v>988</v>
      </c>
      <c r="C282" s="1" t="s">
        <v>989</v>
      </c>
      <c r="D282" s="1" t="s">
        <v>8</v>
      </c>
      <c r="E282" s="3">
        <v>5281.0</v>
      </c>
    </row>
    <row r="283">
      <c r="A283" s="1" t="s">
        <v>991</v>
      </c>
      <c r="B283" s="1" t="s">
        <v>992</v>
      </c>
      <c r="C283" s="1" t="s">
        <v>993</v>
      </c>
      <c r="D283" s="1" t="s">
        <v>12</v>
      </c>
      <c r="E283" s="3">
        <v>5282.0</v>
      </c>
    </row>
    <row r="284">
      <c r="A284" s="1" t="s">
        <v>994</v>
      </c>
      <c r="B284" s="1" t="s">
        <v>995</v>
      </c>
      <c r="C284" s="1" t="s">
        <v>996</v>
      </c>
      <c r="D284" s="1" t="s">
        <v>8</v>
      </c>
      <c r="E284" s="3">
        <v>5283.0</v>
      </c>
    </row>
    <row r="285">
      <c r="A285" s="1" t="s">
        <v>998</v>
      </c>
      <c r="B285" s="1" t="s">
        <v>999</v>
      </c>
      <c r="C285" s="1" t="s">
        <v>1000</v>
      </c>
      <c r="D285" s="1" t="s">
        <v>23</v>
      </c>
      <c r="E285" s="3">
        <v>5284.0</v>
      </c>
    </row>
    <row r="286">
      <c r="A286" s="1" t="s">
        <v>1001</v>
      </c>
      <c r="B286" s="1" t="s">
        <v>1002</v>
      </c>
      <c r="C286" s="1" t="s">
        <v>1003</v>
      </c>
      <c r="D286" s="1" t="s">
        <v>12</v>
      </c>
      <c r="E286" s="3">
        <v>5285.0</v>
      </c>
    </row>
    <row r="287">
      <c r="A287" s="1" t="s">
        <v>1005</v>
      </c>
      <c r="B287" s="1" t="s">
        <v>1006</v>
      </c>
      <c r="C287" s="1" t="s">
        <v>1008</v>
      </c>
      <c r="D287" s="1" t="s">
        <v>242</v>
      </c>
      <c r="E287" s="3">
        <v>5286.0</v>
      </c>
    </row>
    <row r="288">
      <c r="A288" s="1" t="s">
        <v>1009</v>
      </c>
      <c r="B288" s="1" t="s">
        <v>1010</v>
      </c>
      <c r="C288" s="1" t="s">
        <v>1011</v>
      </c>
      <c r="D288" s="1" t="s">
        <v>8</v>
      </c>
      <c r="E288" s="3">
        <v>5287.0</v>
      </c>
    </row>
    <row r="289">
      <c r="A289" s="1" t="s">
        <v>1012</v>
      </c>
      <c r="B289" s="1" t="s">
        <v>1013</v>
      </c>
      <c r="C289" s="1" t="s">
        <v>1014</v>
      </c>
      <c r="D289" s="1" t="s">
        <v>80</v>
      </c>
      <c r="E289" s="3">
        <v>5288.0</v>
      </c>
    </row>
    <row r="290">
      <c r="A290" s="1" t="s">
        <v>1015</v>
      </c>
      <c r="B290" s="1" t="s">
        <v>1017</v>
      </c>
      <c r="C290" s="1" t="s">
        <v>1018</v>
      </c>
      <c r="D290" s="1" t="s">
        <v>12</v>
      </c>
      <c r="E290" s="3">
        <v>5289.0</v>
      </c>
    </row>
    <row r="291">
      <c r="A291" s="1" t="s">
        <v>1019</v>
      </c>
      <c r="B291" s="1" t="s">
        <v>1020</v>
      </c>
      <c r="C291" s="1" t="s">
        <v>1021</v>
      </c>
      <c r="D291" s="1" t="s">
        <v>8</v>
      </c>
      <c r="E291" s="3">
        <v>5290.0</v>
      </c>
    </row>
    <row r="292">
      <c r="A292" s="1" t="s">
        <v>1022</v>
      </c>
      <c r="B292" s="1" t="s">
        <v>1023</v>
      </c>
      <c r="C292" s="1" t="s">
        <v>1024</v>
      </c>
      <c r="D292" s="1" t="s">
        <v>8</v>
      </c>
      <c r="E292" s="3">
        <v>5291.0</v>
      </c>
    </row>
    <row r="293">
      <c r="A293" s="1" t="s">
        <v>1026</v>
      </c>
      <c r="B293" s="1" t="s">
        <v>1027</v>
      </c>
      <c r="C293" s="1" t="s">
        <v>1028</v>
      </c>
      <c r="D293" s="1" t="s">
        <v>12</v>
      </c>
      <c r="E293" s="3">
        <v>5292.0</v>
      </c>
    </row>
    <row r="294">
      <c r="A294" s="1" t="s">
        <v>1029</v>
      </c>
      <c r="B294" s="1" t="s">
        <v>1031</v>
      </c>
      <c r="C294" s="1" t="s">
        <v>1032</v>
      </c>
      <c r="D294" s="1" t="s">
        <v>98</v>
      </c>
      <c r="E294" s="3">
        <v>5293.0</v>
      </c>
    </row>
    <row r="295">
      <c r="A295" s="1" t="s">
        <v>1034</v>
      </c>
      <c r="B295" s="1" t="s">
        <v>1035</v>
      </c>
      <c r="C295" s="1" t="s">
        <v>1036</v>
      </c>
      <c r="D295" s="1" t="s">
        <v>23</v>
      </c>
      <c r="E295" s="3">
        <v>5294.0</v>
      </c>
    </row>
    <row r="296">
      <c r="A296" s="1" t="s">
        <v>1037</v>
      </c>
      <c r="B296" s="1" t="s">
        <v>1038</v>
      </c>
      <c r="C296" s="1" t="s">
        <v>1039</v>
      </c>
      <c r="D296" s="1" t="s">
        <v>8</v>
      </c>
      <c r="E296" s="3">
        <v>5295.0</v>
      </c>
    </row>
    <row r="297">
      <c r="A297" s="1" t="s">
        <v>1040</v>
      </c>
      <c r="B297" s="1" t="s">
        <v>1041</v>
      </c>
      <c r="C297" s="1" t="s">
        <v>1042</v>
      </c>
      <c r="D297" s="1" t="s">
        <v>12</v>
      </c>
      <c r="E297" s="3">
        <v>5296.0</v>
      </c>
    </row>
    <row r="298">
      <c r="A298" s="1" t="s">
        <v>1043</v>
      </c>
      <c r="B298" s="1" t="s">
        <v>1044</v>
      </c>
      <c r="C298" s="1" t="s">
        <v>1045</v>
      </c>
      <c r="D298" s="1" t="s">
        <v>539</v>
      </c>
      <c r="E298" s="3">
        <v>5297.0</v>
      </c>
    </row>
    <row r="299">
      <c r="A299" s="1" t="s">
        <v>1046</v>
      </c>
      <c r="B299" s="1" t="s">
        <v>1047</v>
      </c>
      <c r="C299" s="1" t="s">
        <v>1048</v>
      </c>
      <c r="D299" s="1" t="s">
        <v>12</v>
      </c>
      <c r="E299" s="3">
        <v>5298.0</v>
      </c>
    </row>
    <row r="300">
      <c r="A300" s="1" t="s">
        <v>1049</v>
      </c>
      <c r="B300" s="1" t="s">
        <v>1050</v>
      </c>
      <c r="C300" s="1" t="s">
        <v>1051</v>
      </c>
      <c r="D300" s="1" t="s">
        <v>23</v>
      </c>
      <c r="E300" s="3">
        <v>5299.0</v>
      </c>
    </row>
    <row r="301">
      <c r="A301" s="1" t="s">
        <v>1053</v>
      </c>
      <c r="B301" s="1" t="s">
        <v>1054</v>
      </c>
      <c r="C301" s="1" t="s">
        <v>1055</v>
      </c>
      <c r="D301" s="1" t="s">
        <v>8</v>
      </c>
      <c r="E301" s="3">
        <v>5300.0</v>
      </c>
    </row>
    <row r="302">
      <c r="A302" s="1" t="s">
        <v>1056</v>
      </c>
      <c r="B302" s="1" t="s">
        <v>1057</v>
      </c>
      <c r="C302" s="1" t="s">
        <v>1058</v>
      </c>
      <c r="D302" s="1" t="s">
        <v>539</v>
      </c>
      <c r="E302" s="3">
        <v>5301.0</v>
      </c>
    </row>
    <row r="303">
      <c r="A303" s="1" t="s">
        <v>1059</v>
      </c>
      <c r="B303" s="1" t="s">
        <v>1060</v>
      </c>
      <c r="C303" s="1" t="s">
        <v>1061</v>
      </c>
      <c r="D303" s="1" t="s">
        <v>98</v>
      </c>
      <c r="E303" s="3">
        <v>5302.0</v>
      </c>
    </row>
    <row r="304">
      <c r="A304" s="1" t="s">
        <v>1062</v>
      </c>
      <c r="B304" s="1" t="s">
        <v>1063</v>
      </c>
      <c r="C304" s="1" t="s">
        <v>1064</v>
      </c>
      <c r="D304" s="1" t="s">
        <v>12</v>
      </c>
      <c r="E304" s="3">
        <v>5303.0</v>
      </c>
    </row>
    <row r="305">
      <c r="A305" s="1" t="s">
        <v>1065</v>
      </c>
      <c r="B305" s="1" t="s">
        <v>1066</v>
      </c>
      <c r="C305" s="1" t="s">
        <v>1067</v>
      </c>
      <c r="D305" s="1" t="s">
        <v>12</v>
      </c>
      <c r="E305" s="3">
        <v>5304.0</v>
      </c>
    </row>
    <row r="306">
      <c r="A306" s="1" t="s">
        <v>1068</v>
      </c>
      <c r="B306" s="1" t="s">
        <v>1069</v>
      </c>
      <c r="C306" s="1" t="s">
        <v>1070</v>
      </c>
      <c r="D306" s="1" t="s">
        <v>12</v>
      </c>
      <c r="E306" s="3">
        <v>5305.0</v>
      </c>
    </row>
    <row r="307">
      <c r="A307" s="1" t="s">
        <v>1071</v>
      </c>
      <c r="B307" s="1" t="s">
        <v>1072</v>
      </c>
      <c r="C307" s="1" t="s">
        <v>1073</v>
      </c>
      <c r="D307" s="1" t="s">
        <v>12</v>
      </c>
      <c r="E307" s="3">
        <v>5306.0</v>
      </c>
    </row>
    <row r="308">
      <c r="A308" s="1" t="s">
        <v>1074</v>
      </c>
      <c r="B308" s="1" t="s">
        <v>1075</v>
      </c>
      <c r="C308" s="1" t="s">
        <v>1076</v>
      </c>
      <c r="D308" s="1" t="s">
        <v>12</v>
      </c>
      <c r="E308" s="3">
        <v>5307.0</v>
      </c>
    </row>
    <row r="309">
      <c r="A309" s="1" t="s">
        <v>1077</v>
      </c>
      <c r="B309" s="1" t="s">
        <v>1078</v>
      </c>
      <c r="C309" s="1" t="s">
        <v>1079</v>
      </c>
      <c r="D309" s="1" t="s">
        <v>98</v>
      </c>
      <c r="E309" s="3">
        <v>5308.0</v>
      </c>
    </row>
    <row r="310">
      <c r="A310" s="1" t="s">
        <v>1081</v>
      </c>
      <c r="B310" s="1" t="s">
        <v>1082</v>
      </c>
      <c r="C310" s="1" t="s">
        <v>1083</v>
      </c>
      <c r="D310" s="1" t="s">
        <v>12</v>
      </c>
      <c r="E310" s="3">
        <v>5309.0</v>
      </c>
    </row>
    <row r="311">
      <c r="A311" s="1" t="s">
        <v>1084</v>
      </c>
      <c r="B311" s="1" t="s">
        <v>1085</v>
      </c>
      <c r="C311" s="1" t="s">
        <v>1086</v>
      </c>
      <c r="D311" s="1" t="s">
        <v>8</v>
      </c>
      <c r="E311" s="3">
        <v>5310.0</v>
      </c>
    </row>
    <row r="312">
      <c r="A312" s="1" t="s">
        <v>1088</v>
      </c>
      <c r="B312" s="1" t="s">
        <v>1089</v>
      </c>
      <c r="C312" s="1" t="s">
        <v>1090</v>
      </c>
      <c r="D312" s="1" t="s">
        <v>23</v>
      </c>
      <c r="E312" s="3">
        <v>5311.0</v>
      </c>
    </row>
    <row r="313">
      <c r="A313" s="1" t="s">
        <v>1092</v>
      </c>
      <c r="B313" s="1" t="s">
        <v>1093</v>
      </c>
      <c r="C313" s="1" t="s">
        <v>1094</v>
      </c>
      <c r="D313" s="1" t="s">
        <v>12</v>
      </c>
      <c r="E313" s="3">
        <v>5312.0</v>
      </c>
    </row>
    <row r="314">
      <c r="A314" s="1" t="s">
        <v>1095</v>
      </c>
      <c r="B314" s="1" t="s">
        <v>1096</v>
      </c>
      <c r="C314" s="1" t="s">
        <v>1097</v>
      </c>
      <c r="D314" s="1" t="s">
        <v>12</v>
      </c>
      <c r="E314" s="3">
        <v>5313.0</v>
      </c>
    </row>
    <row r="315">
      <c r="A315" s="1" t="s">
        <v>1098</v>
      </c>
      <c r="B315" s="1" t="s">
        <v>1099</v>
      </c>
      <c r="C315" s="1" t="s">
        <v>1100</v>
      </c>
      <c r="D315" s="1" t="s">
        <v>242</v>
      </c>
      <c r="E315" s="3">
        <v>5314.0</v>
      </c>
    </row>
    <row r="316">
      <c r="A316" s="1" t="s">
        <v>1101</v>
      </c>
      <c r="B316" s="1" t="s">
        <v>1102</v>
      </c>
      <c r="C316" s="1" t="s">
        <v>1103</v>
      </c>
      <c r="D316" s="1" t="s">
        <v>12</v>
      </c>
      <c r="E316" s="3">
        <v>5315.0</v>
      </c>
    </row>
    <row r="317">
      <c r="A317" s="1" t="s">
        <v>1105</v>
      </c>
      <c r="B317" s="1" t="s">
        <v>1106</v>
      </c>
      <c r="C317" s="1" t="s">
        <v>1107</v>
      </c>
      <c r="D317" s="1" t="s">
        <v>12</v>
      </c>
      <c r="E317" s="3">
        <v>5316.0</v>
      </c>
    </row>
    <row r="318">
      <c r="A318" s="1" t="s">
        <v>1108</v>
      </c>
      <c r="B318" s="1" t="s">
        <v>1109</v>
      </c>
      <c r="C318" s="1" t="s">
        <v>1110</v>
      </c>
      <c r="D318" s="1" t="s">
        <v>23</v>
      </c>
      <c r="E318" s="3">
        <v>5317.0</v>
      </c>
    </row>
    <row r="319">
      <c r="A319" s="1" t="s">
        <v>1111</v>
      </c>
      <c r="B319" s="1" t="s">
        <v>1112</v>
      </c>
      <c r="C319" s="1" t="s">
        <v>1114</v>
      </c>
      <c r="D319" s="1" t="s">
        <v>23</v>
      </c>
      <c r="E319" s="3">
        <v>5318.0</v>
      </c>
    </row>
    <row r="320">
      <c r="A320" s="1" t="s">
        <v>1115</v>
      </c>
      <c r="B320" s="1" t="s">
        <v>1116</v>
      </c>
      <c r="C320" s="1" t="s">
        <v>1117</v>
      </c>
      <c r="D320" s="1" t="s">
        <v>8</v>
      </c>
      <c r="E320" s="3">
        <v>5319.0</v>
      </c>
    </row>
    <row r="321">
      <c r="A321" s="1" t="s">
        <v>1119</v>
      </c>
      <c r="B321" s="1" t="s">
        <v>1120</v>
      </c>
      <c r="C321" s="1" t="s">
        <v>1121</v>
      </c>
      <c r="D321" s="1" t="s">
        <v>98</v>
      </c>
      <c r="E321" s="3">
        <v>5320.0</v>
      </c>
    </row>
    <row r="322">
      <c r="A322" s="1" t="s">
        <v>1123</v>
      </c>
      <c r="B322" s="1" t="s">
        <v>1124</v>
      </c>
      <c r="C322" s="1" t="s">
        <v>1125</v>
      </c>
      <c r="D322" s="1" t="s">
        <v>8</v>
      </c>
      <c r="E322" s="3">
        <v>5321.0</v>
      </c>
    </row>
    <row r="323">
      <c r="A323" s="1" t="s">
        <v>1126</v>
      </c>
      <c r="B323" s="1" t="s">
        <v>1127</v>
      </c>
      <c r="C323" s="1" t="s">
        <v>1128</v>
      </c>
      <c r="D323" s="1" t="s">
        <v>23</v>
      </c>
      <c r="E323" s="3">
        <v>5322.0</v>
      </c>
    </row>
    <row r="324">
      <c r="A324" s="1" t="s">
        <v>1129</v>
      </c>
      <c r="B324" s="1" t="s">
        <v>1130</v>
      </c>
      <c r="C324" s="1" t="s">
        <v>1131</v>
      </c>
      <c r="D324" s="1" t="s">
        <v>1132</v>
      </c>
      <c r="E324" s="3">
        <v>5323.0</v>
      </c>
    </row>
    <row r="325">
      <c r="A325" s="1" t="s">
        <v>1133</v>
      </c>
      <c r="B325" s="1" t="s">
        <v>1135</v>
      </c>
      <c r="C325" s="1" t="s">
        <v>1136</v>
      </c>
      <c r="D325" s="1" t="s">
        <v>8</v>
      </c>
      <c r="E325" s="3">
        <v>5324.0</v>
      </c>
    </row>
    <row r="326">
      <c r="A326" s="1" t="s">
        <v>1137</v>
      </c>
      <c r="B326" s="1" t="s">
        <v>1138</v>
      </c>
      <c r="C326" s="1" t="s">
        <v>1139</v>
      </c>
      <c r="D326" s="1" t="s">
        <v>23</v>
      </c>
      <c r="E326" s="3">
        <v>5325.0</v>
      </c>
    </row>
    <row r="327">
      <c r="A327" s="1" t="s">
        <v>456</v>
      </c>
      <c r="B327" s="1" t="s">
        <v>1141</v>
      </c>
      <c r="C327" s="1" t="s">
        <v>1142</v>
      </c>
      <c r="D327" s="1" t="s">
        <v>23</v>
      </c>
      <c r="E327" s="3">
        <v>5326.0</v>
      </c>
    </row>
    <row r="328">
      <c r="A328" s="1" t="s">
        <v>1143</v>
      </c>
      <c r="B328" s="1" t="s">
        <v>1144</v>
      </c>
      <c r="C328" s="1" t="s">
        <v>1145</v>
      </c>
      <c r="D328" s="1" t="s">
        <v>8</v>
      </c>
      <c r="E328" s="3">
        <v>5327.0</v>
      </c>
    </row>
    <row r="329">
      <c r="A329" s="1" t="s">
        <v>1147</v>
      </c>
      <c r="B329" s="1" t="s">
        <v>1148</v>
      </c>
      <c r="C329" s="1" t="s">
        <v>1149</v>
      </c>
      <c r="D329" s="1" t="s">
        <v>98</v>
      </c>
      <c r="E329" s="3">
        <v>5328.0</v>
      </c>
    </row>
    <row r="330">
      <c r="A330" s="1" t="s">
        <v>1151</v>
      </c>
      <c r="B330" s="1" t="s">
        <v>1152</v>
      </c>
      <c r="C330" s="1" t="s">
        <v>1153</v>
      </c>
      <c r="D330" s="1" t="s">
        <v>98</v>
      </c>
      <c r="E330" s="3">
        <v>5329.0</v>
      </c>
    </row>
    <row r="331">
      <c r="A331" s="1" t="s">
        <v>1154</v>
      </c>
      <c r="B331" s="1" t="s">
        <v>1155</v>
      </c>
      <c r="C331" s="1" t="s">
        <v>1156</v>
      </c>
      <c r="D331" s="1" t="s">
        <v>12</v>
      </c>
      <c r="E331" s="3">
        <v>5330.0</v>
      </c>
    </row>
    <row r="332">
      <c r="A332" s="1" t="s">
        <v>1157</v>
      </c>
      <c r="B332" s="1" t="s">
        <v>1158</v>
      </c>
      <c r="C332" s="1" t="s">
        <v>1159</v>
      </c>
      <c r="D332" s="1" t="s">
        <v>1160</v>
      </c>
      <c r="E332" s="3">
        <v>5331.0</v>
      </c>
    </row>
    <row r="333">
      <c r="A333" s="1" t="s">
        <v>1161</v>
      </c>
      <c r="B333" s="1" t="s">
        <v>1162</v>
      </c>
      <c r="C333" s="1" t="s">
        <v>1163</v>
      </c>
      <c r="D333" s="1" t="s">
        <v>12</v>
      </c>
      <c r="E333" s="3">
        <v>5332.0</v>
      </c>
    </row>
    <row r="334">
      <c r="A334" s="1" t="s">
        <v>1164</v>
      </c>
      <c r="B334" s="1" t="s">
        <v>1165</v>
      </c>
      <c r="C334" s="1" t="s">
        <v>1166</v>
      </c>
      <c r="D334" s="1" t="s">
        <v>12</v>
      </c>
      <c r="E334" s="3">
        <v>5333.0</v>
      </c>
    </row>
    <row r="335">
      <c r="A335" s="1" t="s">
        <v>1168</v>
      </c>
      <c r="B335" s="1" t="s">
        <v>1169</v>
      </c>
      <c r="C335" s="1" t="s">
        <v>1170</v>
      </c>
      <c r="D335" s="1" t="s">
        <v>8</v>
      </c>
      <c r="E335" s="3">
        <v>5334.0</v>
      </c>
    </row>
    <row r="336">
      <c r="A336" s="1" t="s">
        <v>1171</v>
      </c>
      <c r="B336" s="1" t="s">
        <v>1172</v>
      </c>
      <c r="C336" s="1" t="s">
        <v>1173</v>
      </c>
      <c r="D336" s="1" t="s">
        <v>23</v>
      </c>
      <c r="E336" s="3">
        <v>5335.0</v>
      </c>
    </row>
    <row r="337">
      <c r="A337" s="1" t="s">
        <v>1174</v>
      </c>
      <c r="B337" s="1" t="s">
        <v>1175</v>
      </c>
      <c r="C337" s="1" t="s">
        <v>1176</v>
      </c>
      <c r="D337" s="1" t="s">
        <v>23</v>
      </c>
      <c r="E337" s="3">
        <v>5336.0</v>
      </c>
    </row>
    <row r="338">
      <c r="A338" s="1" t="s">
        <v>1177</v>
      </c>
      <c r="B338" s="1" t="s">
        <v>1178</v>
      </c>
      <c r="C338" s="1" t="s">
        <v>1179</v>
      </c>
      <c r="D338" s="1" t="s">
        <v>23</v>
      </c>
      <c r="E338" s="3">
        <v>5337.0</v>
      </c>
    </row>
    <row r="339">
      <c r="A339" s="1" t="s">
        <v>1181</v>
      </c>
      <c r="B339" s="1" t="s">
        <v>1182</v>
      </c>
      <c r="C339" s="1" t="s">
        <v>1183</v>
      </c>
      <c r="D339" s="1" t="s">
        <v>12</v>
      </c>
      <c r="E339" s="3">
        <v>5338.0</v>
      </c>
    </row>
    <row r="340">
      <c r="A340" s="1" t="s">
        <v>1184</v>
      </c>
      <c r="B340" s="1" t="s">
        <v>1185</v>
      </c>
      <c r="C340" s="1" t="s">
        <v>1186</v>
      </c>
      <c r="D340" s="1" t="s">
        <v>12</v>
      </c>
      <c r="E340" s="3">
        <v>5339.0</v>
      </c>
    </row>
    <row r="341">
      <c r="A341" s="1" t="s">
        <v>1187</v>
      </c>
      <c r="B341" s="1" t="s">
        <v>1188</v>
      </c>
      <c r="C341" s="1" t="s">
        <v>1190</v>
      </c>
      <c r="D341" s="1" t="s">
        <v>23</v>
      </c>
      <c r="E341" s="3">
        <v>5340.0</v>
      </c>
    </row>
    <row r="342">
      <c r="A342" s="1" t="s">
        <v>1191</v>
      </c>
      <c r="B342" s="1" t="s">
        <v>1192</v>
      </c>
      <c r="C342" s="1" t="s">
        <v>1193</v>
      </c>
      <c r="D342" s="1" t="s">
        <v>23</v>
      </c>
      <c r="E342" s="3">
        <v>5341.0</v>
      </c>
    </row>
    <row r="343">
      <c r="A343" s="1" t="s">
        <v>1195</v>
      </c>
      <c r="B343" s="1" t="s">
        <v>1196</v>
      </c>
      <c r="C343" s="1" t="s">
        <v>1197</v>
      </c>
      <c r="D343" s="1" t="s">
        <v>12</v>
      </c>
      <c r="E343" s="3">
        <v>5342.0</v>
      </c>
    </row>
    <row r="344">
      <c r="A344" s="1" t="s">
        <v>1198</v>
      </c>
      <c r="B344" s="1" t="s">
        <v>1199</v>
      </c>
      <c r="C344" s="1" t="s">
        <v>1200</v>
      </c>
      <c r="D344" s="1" t="s">
        <v>12</v>
      </c>
      <c r="E344" s="3">
        <v>5343.0</v>
      </c>
    </row>
    <row r="345">
      <c r="A345" s="1" t="s">
        <v>1201</v>
      </c>
      <c r="B345" s="1" t="s">
        <v>1202</v>
      </c>
      <c r="C345" s="1" t="s">
        <v>1203</v>
      </c>
      <c r="D345" s="1" t="s">
        <v>23</v>
      </c>
      <c r="E345" s="3">
        <v>5344.0</v>
      </c>
    </row>
    <row r="346">
      <c r="A346" s="1" t="s">
        <v>1204</v>
      </c>
      <c r="B346" s="1" t="s">
        <v>1205</v>
      </c>
      <c r="C346" s="1" t="s">
        <v>1206</v>
      </c>
      <c r="D346" s="1" t="s">
        <v>23</v>
      </c>
      <c r="E346" s="3">
        <v>5345.0</v>
      </c>
    </row>
    <row r="347">
      <c r="A347" s="1" t="s">
        <v>1208</v>
      </c>
      <c r="B347" s="1" t="s">
        <v>1209</v>
      </c>
      <c r="C347" s="1" t="s">
        <v>1210</v>
      </c>
      <c r="D347" s="1" t="s">
        <v>12</v>
      </c>
      <c r="E347" s="3">
        <v>5346.0</v>
      </c>
    </row>
    <row r="348">
      <c r="A348" s="1" t="s">
        <v>1211</v>
      </c>
      <c r="B348" s="1" t="s">
        <v>1212</v>
      </c>
      <c r="C348" s="1" t="s">
        <v>1213</v>
      </c>
      <c r="D348" s="1" t="s">
        <v>335</v>
      </c>
      <c r="E348" s="3">
        <v>5347.0</v>
      </c>
    </row>
    <row r="349">
      <c r="A349" s="1" t="s">
        <v>1214</v>
      </c>
      <c r="B349" s="1" t="s">
        <v>1216</v>
      </c>
      <c r="C349" s="1" t="s">
        <v>1217</v>
      </c>
      <c r="D349" s="1" t="s">
        <v>242</v>
      </c>
      <c r="E349" s="3">
        <v>5348.0</v>
      </c>
    </row>
    <row r="350">
      <c r="A350" s="1" t="s">
        <v>1218</v>
      </c>
      <c r="B350" s="1" t="s">
        <v>1219</v>
      </c>
      <c r="C350" s="1" t="s">
        <v>1220</v>
      </c>
      <c r="D350" s="1" t="s">
        <v>23</v>
      </c>
      <c r="E350" s="3">
        <v>5349.0</v>
      </c>
    </row>
    <row r="351">
      <c r="A351" s="1" t="s">
        <v>1223</v>
      </c>
      <c r="B351" s="1" t="s">
        <v>1224</v>
      </c>
      <c r="C351" s="1" t="s">
        <v>1225</v>
      </c>
      <c r="D351" s="1" t="s">
        <v>23</v>
      </c>
      <c r="E351" s="3">
        <v>5350.0</v>
      </c>
    </row>
    <row r="352">
      <c r="A352" s="1" t="s">
        <v>1226</v>
      </c>
      <c r="B352" s="1" t="s">
        <v>1227</v>
      </c>
      <c r="C352" s="1" t="s">
        <v>1228</v>
      </c>
      <c r="D352" s="1" t="s">
        <v>8</v>
      </c>
      <c r="E352" s="3">
        <v>5351.0</v>
      </c>
    </row>
    <row r="353">
      <c r="A353" s="1" t="s">
        <v>1229</v>
      </c>
      <c r="B353" s="1" t="s">
        <v>1230</v>
      </c>
      <c r="C353" s="1" t="s">
        <v>1231</v>
      </c>
      <c r="D353" s="1" t="s">
        <v>98</v>
      </c>
      <c r="E353" s="3">
        <v>5352.0</v>
      </c>
    </row>
    <row r="354">
      <c r="A354" s="1" t="s">
        <v>1232</v>
      </c>
      <c r="B354" s="1" t="s">
        <v>1233</v>
      </c>
      <c r="C354" s="1" t="s">
        <v>1234</v>
      </c>
      <c r="D354" s="1" t="s">
        <v>1235</v>
      </c>
      <c r="E354" s="3">
        <v>5353.0</v>
      </c>
    </row>
    <row r="355">
      <c r="A355" s="1" t="s">
        <v>1237</v>
      </c>
      <c r="B355" s="1" t="s">
        <v>1238</v>
      </c>
      <c r="C355" s="1" t="s">
        <v>1239</v>
      </c>
      <c r="D355" s="1" t="s">
        <v>23</v>
      </c>
      <c r="E355" s="3">
        <v>5354.0</v>
      </c>
    </row>
    <row r="356">
      <c r="A356" s="1"/>
      <c r="B356" s="1"/>
      <c r="C356" s="1"/>
      <c r="D356" s="1"/>
    </row>
    <row r="357">
      <c r="A357" s="1"/>
      <c r="B357" s="1"/>
      <c r="C357" s="1"/>
      <c r="D357" s="1"/>
    </row>
    <row r="358">
      <c r="A358" s="1"/>
      <c r="B358" s="1"/>
      <c r="C358" s="1"/>
      <c r="D358" s="1"/>
    </row>
    <row r="359">
      <c r="A359" s="1"/>
      <c r="B359" s="1"/>
      <c r="C359" s="1"/>
      <c r="D359" s="1"/>
    </row>
    <row r="360">
      <c r="A360" s="1"/>
      <c r="B360" s="1"/>
      <c r="C360" s="1"/>
      <c r="D360" s="1"/>
    </row>
    <row r="361">
      <c r="A361" s="1"/>
      <c r="B361" s="1"/>
      <c r="C361" s="1"/>
      <c r="D361" s="1"/>
    </row>
    <row r="362">
      <c r="A362" s="1"/>
      <c r="B362" s="1"/>
      <c r="C362" s="1"/>
      <c r="D362" s="1"/>
    </row>
    <row r="363">
      <c r="A363" s="1"/>
      <c r="B363" s="1"/>
      <c r="C363" s="1"/>
      <c r="D363" s="1"/>
    </row>
    <row r="364">
      <c r="A364" s="1"/>
      <c r="B364" s="1"/>
      <c r="C364" s="1"/>
      <c r="D364" s="1"/>
    </row>
    <row r="365">
      <c r="A365" s="1"/>
      <c r="B365" s="1"/>
      <c r="C365" s="1"/>
      <c r="D365" s="1"/>
    </row>
    <row r="366">
      <c r="A366" s="1"/>
      <c r="B366" s="1"/>
      <c r="C366" s="1"/>
      <c r="D366" s="1"/>
    </row>
    <row r="367">
      <c r="A367" s="1"/>
      <c r="B367" s="1"/>
      <c r="C367" s="1"/>
      <c r="D367" s="1"/>
    </row>
    <row r="368">
      <c r="A368" s="1"/>
      <c r="B368" s="1"/>
      <c r="C368" s="1"/>
      <c r="D368" s="1"/>
    </row>
    <row r="369">
      <c r="A369" s="1"/>
      <c r="B369" s="1"/>
      <c r="C369" s="1"/>
      <c r="D369" s="1"/>
    </row>
    <row r="370">
      <c r="A370" s="1"/>
      <c r="B370" s="1"/>
      <c r="C370" s="1"/>
      <c r="D370" s="1"/>
    </row>
    <row r="371">
      <c r="A371" s="1"/>
      <c r="B371" s="1"/>
      <c r="C371" s="1"/>
      <c r="D371" s="1"/>
    </row>
    <row r="372">
      <c r="A372" s="1"/>
      <c r="B372" s="1"/>
      <c r="C372" s="1"/>
      <c r="D372" s="1"/>
    </row>
    <row r="373">
      <c r="A373" s="1"/>
      <c r="B373" s="1"/>
      <c r="C373" s="1"/>
      <c r="D373" s="1"/>
    </row>
    <row r="374">
      <c r="A374" s="1"/>
      <c r="B374" s="1"/>
      <c r="C374" s="1"/>
      <c r="D374" s="1"/>
    </row>
    <row r="375">
      <c r="A375" s="1"/>
      <c r="B375" s="1"/>
      <c r="C375" s="1"/>
      <c r="D375" s="1"/>
    </row>
    <row r="376">
      <c r="A376" s="1"/>
      <c r="B376" s="1"/>
      <c r="C376" s="1"/>
      <c r="D376" s="1"/>
    </row>
    <row r="377">
      <c r="A377" s="1"/>
      <c r="B377" s="1"/>
      <c r="C377" s="1"/>
      <c r="D377" s="1"/>
    </row>
    <row r="378">
      <c r="A378" s="1"/>
      <c r="B378" s="1"/>
      <c r="C378" s="1"/>
      <c r="D378" s="1"/>
    </row>
    <row r="379">
      <c r="A379" s="1"/>
      <c r="B379" s="1"/>
      <c r="C379" s="1"/>
      <c r="D379" s="1"/>
    </row>
    <row r="380">
      <c r="A380" s="1"/>
      <c r="B380" s="1"/>
      <c r="C380" s="1"/>
      <c r="D380" s="1"/>
    </row>
    <row r="381">
      <c r="A381" s="1"/>
      <c r="B381" s="1"/>
      <c r="C381" s="1"/>
      <c r="D381" s="1"/>
    </row>
    <row r="382">
      <c r="A382" s="1"/>
      <c r="B382" s="1"/>
      <c r="C382" s="1"/>
      <c r="D382" s="1"/>
    </row>
    <row r="383">
      <c r="A383" s="1"/>
      <c r="B383" s="1"/>
      <c r="C383" s="1"/>
      <c r="D383" s="1"/>
    </row>
    <row r="384">
      <c r="A384" s="1"/>
      <c r="B384" s="1"/>
      <c r="C384" s="1"/>
      <c r="D384" s="1"/>
    </row>
    <row r="385">
      <c r="A385" s="1"/>
      <c r="B385" s="1"/>
      <c r="C385" s="1"/>
      <c r="D385" s="1"/>
    </row>
    <row r="386">
      <c r="A386" s="1"/>
      <c r="B386" s="1"/>
      <c r="C386" s="1"/>
      <c r="D386" s="1"/>
    </row>
    <row r="387">
      <c r="A387" s="1"/>
      <c r="B387" s="1"/>
      <c r="C387" s="1"/>
      <c r="D387" s="1"/>
    </row>
    <row r="388">
      <c r="A388" s="1"/>
      <c r="B388" s="1"/>
      <c r="C388" s="1"/>
      <c r="D388" s="1"/>
    </row>
    <row r="389">
      <c r="A389" s="1"/>
      <c r="B389" s="1"/>
      <c r="C389" s="1"/>
      <c r="D389" s="1"/>
    </row>
    <row r="390">
      <c r="A390" s="1"/>
      <c r="B390" s="1"/>
      <c r="C390" s="1"/>
      <c r="D390" s="1"/>
    </row>
    <row r="391">
      <c r="A391" s="1"/>
      <c r="B391" s="1"/>
      <c r="C391" s="1"/>
      <c r="D391" s="1"/>
    </row>
    <row r="392">
      <c r="A392" s="1"/>
      <c r="B392" s="1"/>
      <c r="C392" s="1"/>
      <c r="D392" s="1"/>
    </row>
    <row r="393">
      <c r="A393" s="1"/>
      <c r="B393" s="1"/>
      <c r="C393" s="1"/>
      <c r="D393" s="1"/>
    </row>
    <row r="394">
      <c r="A394" s="1"/>
      <c r="B394" s="1"/>
      <c r="C394" s="1"/>
      <c r="D394" s="1"/>
    </row>
    <row r="395">
      <c r="A395" s="1"/>
      <c r="B395" s="1"/>
      <c r="C395" s="1"/>
      <c r="D395" s="1"/>
    </row>
    <row r="396">
      <c r="A396" s="1"/>
      <c r="B396" s="1"/>
      <c r="C396" s="1"/>
      <c r="D396" s="1"/>
    </row>
    <row r="397">
      <c r="A397" s="1"/>
      <c r="B397" s="1"/>
      <c r="C397" s="1"/>
      <c r="D397" s="1"/>
    </row>
    <row r="398">
      <c r="A398" s="1"/>
      <c r="B398" s="1"/>
      <c r="C398" s="1"/>
      <c r="D398" s="1"/>
    </row>
    <row r="399">
      <c r="A399" s="1"/>
      <c r="B399" s="1"/>
      <c r="C399" s="1"/>
      <c r="D399" s="1"/>
    </row>
    <row r="400">
      <c r="A400" s="1"/>
      <c r="B400" s="1"/>
      <c r="C400" s="1"/>
      <c r="D400" s="1"/>
    </row>
    <row r="401">
      <c r="A401" s="1"/>
      <c r="B401" s="1"/>
      <c r="C401" s="1"/>
      <c r="D401" s="1"/>
    </row>
    <row r="402">
      <c r="A402" s="1"/>
      <c r="B402" s="1"/>
      <c r="C402" s="1"/>
      <c r="D402" s="1"/>
    </row>
    <row r="403">
      <c r="A403" s="1"/>
      <c r="B403" s="1"/>
      <c r="C403" s="1"/>
      <c r="D403" s="1"/>
    </row>
    <row r="404">
      <c r="A404" s="1"/>
      <c r="B404" s="1"/>
      <c r="C404" s="1"/>
      <c r="D404" s="1"/>
    </row>
    <row r="405">
      <c r="A405" s="1"/>
      <c r="B405" s="1"/>
      <c r="C405" s="1"/>
      <c r="D405" s="1"/>
    </row>
    <row r="406">
      <c r="A406" s="1"/>
      <c r="B406" s="1"/>
      <c r="C406" s="1"/>
      <c r="D406" s="1"/>
    </row>
    <row r="407">
      <c r="A407" s="1"/>
      <c r="B407" s="1"/>
      <c r="C407" s="1"/>
      <c r="D407" s="1"/>
    </row>
    <row r="408">
      <c r="A408" s="1"/>
      <c r="B408" s="1"/>
      <c r="C408" s="1"/>
      <c r="D408" s="1"/>
    </row>
    <row r="409">
      <c r="A409" s="1"/>
      <c r="B409" s="1"/>
      <c r="C409" s="1"/>
      <c r="D409" s="1"/>
    </row>
    <row r="410">
      <c r="A410" s="1"/>
      <c r="B410" s="1"/>
      <c r="C410" s="1"/>
      <c r="D410" s="1"/>
    </row>
    <row r="411">
      <c r="A411" s="1"/>
      <c r="B411" s="1"/>
      <c r="C411" s="1"/>
      <c r="D411" s="1"/>
    </row>
    <row r="412">
      <c r="A412" s="1"/>
      <c r="B412" s="1"/>
      <c r="C412" s="1"/>
      <c r="D412" s="1"/>
    </row>
    <row r="413">
      <c r="A413" s="1"/>
      <c r="B413" s="1"/>
      <c r="C413" s="1"/>
      <c r="D413" s="1"/>
    </row>
    <row r="414">
      <c r="A414" s="1"/>
      <c r="B414" s="1"/>
      <c r="C414" s="1"/>
      <c r="D414" s="1"/>
    </row>
    <row r="415">
      <c r="A415" s="1"/>
      <c r="B415" s="1"/>
      <c r="C415" s="1"/>
      <c r="D415" s="1"/>
    </row>
    <row r="416">
      <c r="A416" s="1"/>
      <c r="B416" s="1"/>
      <c r="C416" s="1"/>
      <c r="D416" s="1"/>
    </row>
    <row r="417">
      <c r="A417" s="1"/>
      <c r="B417" s="1"/>
      <c r="C417" s="1"/>
      <c r="D417" s="1"/>
    </row>
    <row r="418">
      <c r="A418" s="1"/>
      <c r="B418" s="1"/>
      <c r="C418" s="1"/>
      <c r="D418" s="1"/>
    </row>
    <row r="419">
      <c r="A419" s="1"/>
      <c r="B419" s="1"/>
      <c r="C419" s="1"/>
      <c r="D419" s="1"/>
    </row>
    <row r="420">
      <c r="A420" s="1"/>
      <c r="B420" s="1"/>
      <c r="C420" s="1"/>
      <c r="D420" s="1"/>
    </row>
    <row r="421">
      <c r="A421" s="1"/>
      <c r="B421" s="1"/>
      <c r="C421" s="1"/>
      <c r="D421" s="1"/>
    </row>
    <row r="422">
      <c r="A422" s="1"/>
      <c r="B422" s="1"/>
      <c r="C422" s="1"/>
      <c r="D422" s="1"/>
    </row>
    <row r="423">
      <c r="A423" s="1"/>
      <c r="B423" s="1"/>
      <c r="C423" s="1"/>
      <c r="D423" s="1"/>
    </row>
    <row r="424">
      <c r="A424" s="1"/>
      <c r="B424" s="1"/>
      <c r="C424" s="1"/>
      <c r="D424" s="1"/>
    </row>
    <row r="425">
      <c r="A425" s="1"/>
      <c r="B425" s="1"/>
      <c r="C425" s="1"/>
      <c r="D425" s="1"/>
    </row>
    <row r="426">
      <c r="A426" s="1"/>
      <c r="B426" s="1"/>
      <c r="C426" s="1"/>
      <c r="D426" s="1"/>
    </row>
    <row r="427">
      <c r="A427" s="1"/>
      <c r="B427" s="1"/>
      <c r="C427" s="1"/>
      <c r="D427" s="1"/>
    </row>
    <row r="428">
      <c r="A428" s="1"/>
      <c r="B428" s="1"/>
      <c r="C428" s="1"/>
      <c r="D428" s="1"/>
    </row>
    <row r="429">
      <c r="A429" s="1"/>
      <c r="B429" s="1"/>
      <c r="C429" s="1"/>
      <c r="D429" s="1"/>
    </row>
    <row r="430">
      <c r="A430" s="1"/>
      <c r="B430" s="1"/>
      <c r="C430" s="1"/>
      <c r="D430" s="1"/>
    </row>
    <row r="431">
      <c r="A431" s="1"/>
      <c r="B431" s="1"/>
      <c r="C431" s="1"/>
      <c r="D431" s="1"/>
    </row>
    <row r="432">
      <c r="A432" s="1"/>
      <c r="B432" s="1"/>
      <c r="C432" s="1"/>
      <c r="D432" s="1"/>
    </row>
    <row r="433">
      <c r="A433" s="1"/>
      <c r="B433" s="1"/>
      <c r="C433" s="1"/>
      <c r="D433" s="1"/>
    </row>
    <row r="434">
      <c r="A434" s="1"/>
      <c r="B434" s="1"/>
      <c r="C434" s="1"/>
      <c r="D434" s="1"/>
    </row>
    <row r="435">
      <c r="A435" s="1"/>
      <c r="B435" s="1"/>
      <c r="C435" s="1"/>
      <c r="D435" s="1"/>
    </row>
    <row r="436">
      <c r="A436" s="1"/>
      <c r="B436" s="1"/>
      <c r="C436" s="1"/>
      <c r="D436" s="1"/>
    </row>
    <row r="437">
      <c r="A437" s="1"/>
      <c r="B437" s="1"/>
      <c r="C437" s="1"/>
      <c r="D437" s="1"/>
    </row>
    <row r="438">
      <c r="A438" s="1"/>
      <c r="B438" s="1"/>
      <c r="C438" s="1"/>
      <c r="D438" s="1"/>
    </row>
    <row r="439">
      <c r="A439" s="1"/>
      <c r="B439" s="1"/>
      <c r="C439" s="1"/>
      <c r="D439" s="1"/>
    </row>
    <row r="440">
      <c r="A440" s="1"/>
      <c r="B440" s="1"/>
      <c r="C440" s="1"/>
      <c r="D440" s="1"/>
    </row>
    <row r="441">
      <c r="A441" s="1"/>
      <c r="B441" s="1"/>
      <c r="C441" s="1"/>
      <c r="D441" s="1"/>
    </row>
    <row r="442">
      <c r="A442" s="1"/>
      <c r="B442" s="1"/>
      <c r="C442" s="1"/>
      <c r="D442" s="1"/>
    </row>
    <row r="443">
      <c r="A443" s="1"/>
      <c r="B443" s="1"/>
      <c r="C443" s="1"/>
      <c r="D443" s="1"/>
    </row>
    <row r="444">
      <c r="A444" s="1"/>
      <c r="B444" s="1"/>
      <c r="C444" s="1"/>
      <c r="D444" s="1"/>
    </row>
    <row r="445">
      <c r="A445" s="1"/>
      <c r="B445" s="1"/>
      <c r="C445" s="1"/>
      <c r="D445" s="1"/>
    </row>
    <row r="446">
      <c r="A446" s="1"/>
      <c r="B446" s="1"/>
      <c r="C446" s="1"/>
      <c r="D446" s="1"/>
    </row>
    <row r="447">
      <c r="A447" s="1"/>
      <c r="B447" s="1"/>
      <c r="C447" s="1"/>
      <c r="D447" s="1"/>
    </row>
    <row r="448">
      <c r="A448" s="1"/>
      <c r="B448" s="1"/>
      <c r="C448" s="1"/>
      <c r="D448" s="1"/>
    </row>
    <row r="449">
      <c r="A449" s="1"/>
      <c r="B449" s="1"/>
      <c r="C449" s="1"/>
      <c r="D449" s="1"/>
    </row>
    <row r="450">
      <c r="A450" s="1"/>
      <c r="B450" s="1"/>
      <c r="C450" s="1"/>
      <c r="D450" s="1"/>
    </row>
    <row r="451">
      <c r="A451" s="1"/>
      <c r="B451" s="1"/>
      <c r="C451" s="1"/>
      <c r="D451" s="1"/>
    </row>
    <row r="452">
      <c r="A452" s="1"/>
      <c r="B452" s="1"/>
      <c r="C452" s="1"/>
      <c r="D452" s="1"/>
    </row>
    <row r="453">
      <c r="A453" s="1"/>
      <c r="B453" s="1"/>
      <c r="C453" s="1"/>
      <c r="D453" s="1"/>
    </row>
    <row r="454">
      <c r="A454" s="1"/>
      <c r="B454" s="1"/>
      <c r="C454" s="1"/>
      <c r="D454" s="1"/>
    </row>
    <row r="455">
      <c r="A455" s="1"/>
      <c r="B455" s="1"/>
      <c r="C455" s="1"/>
      <c r="D455" s="1"/>
    </row>
    <row r="456">
      <c r="A456" s="1"/>
      <c r="B456" s="1"/>
      <c r="C456" s="1"/>
      <c r="D456" s="1"/>
    </row>
    <row r="457">
      <c r="A457" s="1"/>
      <c r="B457" s="1"/>
      <c r="C457" s="1"/>
      <c r="D457" s="1"/>
    </row>
    <row r="458">
      <c r="A458" s="1"/>
      <c r="B458" s="1"/>
      <c r="C458" s="1"/>
      <c r="D458" s="1"/>
    </row>
    <row r="459">
      <c r="A459" s="1"/>
      <c r="B459" s="1"/>
      <c r="C459" s="1"/>
      <c r="D459" s="1"/>
    </row>
    <row r="460">
      <c r="A460" s="1"/>
      <c r="B460" s="1"/>
      <c r="C460" s="1"/>
      <c r="D460" s="1"/>
    </row>
    <row r="461">
      <c r="A461" s="1"/>
      <c r="B461" s="1"/>
      <c r="C461" s="1"/>
      <c r="D461" s="1"/>
    </row>
    <row r="462">
      <c r="A462" s="1"/>
      <c r="B462" s="1"/>
      <c r="C462" s="1"/>
      <c r="D462" s="1"/>
    </row>
    <row r="463">
      <c r="A463" s="1"/>
      <c r="B463" s="1"/>
      <c r="C463" s="1"/>
      <c r="D463" s="1"/>
    </row>
    <row r="464">
      <c r="A464" s="1"/>
      <c r="B464" s="1"/>
      <c r="C464" s="1"/>
      <c r="D464" s="1"/>
    </row>
    <row r="465">
      <c r="A465" s="1"/>
      <c r="B465" s="1"/>
      <c r="C465" s="1"/>
      <c r="D465" s="1"/>
    </row>
    <row r="466">
      <c r="A466" s="1"/>
      <c r="B466" s="1"/>
      <c r="C466" s="1"/>
      <c r="D466" s="1"/>
    </row>
    <row r="467">
      <c r="A467" s="1"/>
      <c r="B467" s="1"/>
      <c r="C467" s="1"/>
      <c r="D467" s="1"/>
    </row>
    <row r="468">
      <c r="A468" s="1"/>
      <c r="B468" s="1"/>
      <c r="C468" s="1"/>
      <c r="D468" s="1"/>
    </row>
    <row r="469">
      <c r="A469" s="1"/>
      <c r="B469" s="1"/>
      <c r="C469" s="1"/>
      <c r="D469" s="1"/>
    </row>
    <row r="470">
      <c r="A470" s="1"/>
      <c r="B470" s="1"/>
      <c r="C470" s="1"/>
      <c r="D470" s="1"/>
    </row>
    <row r="471">
      <c r="A471" s="1"/>
      <c r="B471" s="1"/>
      <c r="C471" s="1"/>
      <c r="D471" s="1"/>
    </row>
    <row r="472">
      <c r="A472" s="1"/>
      <c r="B472" s="1"/>
      <c r="C472" s="1"/>
      <c r="D472" s="1"/>
    </row>
    <row r="473">
      <c r="A473" s="1"/>
      <c r="B473" s="1"/>
      <c r="C473" s="1"/>
      <c r="D473" s="1"/>
    </row>
    <row r="474">
      <c r="A474" s="1"/>
      <c r="B474" s="1"/>
      <c r="C474" s="1"/>
      <c r="D474" s="1"/>
    </row>
    <row r="475">
      <c r="A475" s="1"/>
      <c r="B475" s="1"/>
      <c r="C475" s="1"/>
      <c r="D475" s="1"/>
    </row>
    <row r="476">
      <c r="A476" s="1"/>
      <c r="B476" s="1"/>
      <c r="C476" s="1"/>
      <c r="D476" s="1"/>
    </row>
    <row r="477">
      <c r="A477" s="1"/>
      <c r="B477" s="1"/>
      <c r="C477" s="1"/>
      <c r="D477" s="1"/>
    </row>
    <row r="478">
      <c r="A478" s="1"/>
      <c r="B478" s="1"/>
      <c r="C478" s="1"/>
      <c r="D478" s="1"/>
    </row>
    <row r="479">
      <c r="A479" s="1"/>
      <c r="B479" s="1"/>
      <c r="C479" s="1"/>
      <c r="D479" s="1"/>
    </row>
    <row r="480">
      <c r="A480" s="1"/>
      <c r="B480" s="1"/>
      <c r="C480" s="1"/>
      <c r="D480" s="1"/>
    </row>
    <row r="481">
      <c r="A481" s="1"/>
      <c r="B481" s="1"/>
      <c r="C481" s="1"/>
      <c r="D481" s="1"/>
    </row>
    <row r="482">
      <c r="A482" s="1"/>
      <c r="B482" s="1"/>
      <c r="C482" s="1"/>
      <c r="D482" s="1"/>
    </row>
    <row r="483">
      <c r="A483" s="1"/>
      <c r="B483" s="1"/>
      <c r="C483" s="1"/>
      <c r="D483" s="1"/>
    </row>
    <row r="484">
      <c r="A484" s="1"/>
      <c r="B484" s="1"/>
      <c r="C484" s="1"/>
      <c r="D484" s="1"/>
    </row>
    <row r="485">
      <c r="A485" s="1"/>
      <c r="B485" s="1"/>
      <c r="C485" s="1"/>
      <c r="D485" s="1"/>
    </row>
    <row r="486">
      <c r="A486" s="1"/>
      <c r="B486" s="1"/>
      <c r="C486" s="1"/>
      <c r="D486" s="1"/>
    </row>
    <row r="487">
      <c r="A487" s="1"/>
      <c r="B487" s="1"/>
      <c r="C487" s="1"/>
      <c r="D487" s="1"/>
    </row>
    <row r="488">
      <c r="A488" s="1"/>
      <c r="B488" s="1"/>
      <c r="C488" s="1"/>
      <c r="D488" s="1"/>
    </row>
    <row r="489">
      <c r="A489" s="1"/>
      <c r="B489" s="1"/>
      <c r="C489" s="1"/>
      <c r="D489" s="1"/>
    </row>
    <row r="490">
      <c r="A490" s="1"/>
      <c r="B490" s="1"/>
      <c r="C490" s="1"/>
      <c r="D490" s="1"/>
    </row>
    <row r="491">
      <c r="A491" s="1"/>
      <c r="B491" s="1"/>
      <c r="C491" s="1"/>
      <c r="D491" s="1"/>
    </row>
    <row r="492">
      <c r="A492" s="1"/>
      <c r="B492" s="1"/>
      <c r="C492" s="1"/>
      <c r="D492" s="1"/>
    </row>
    <row r="493">
      <c r="A493" s="1"/>
      <c r="B493" s="1"/>
      <c r="C493" s="1"/>
      <c r="D493" s="1"/>
    </row>
    <row r="494">
      <c r="A494" s="1"/>
      <c r="B494" s="1"/>
      <c r="C494" s="1"/>
      <c r="D494" s="1"/>
    </row>
    <row r="495">
      <c r="A495" s="1"/>
      <c r="B495" s="1"/>
      <c r="C495" s="1"/>
      <c r="D495" s="1"/>
    </row>
    <row r="496">
      <c r="A496" s="1"/>
      <c r="B496" s="1"/>
      <c r="C496" s="1"/>
      <c r="D496" s="1"/>
    </row>
    <row r="497">
      <c r="A497" s="1"/>
      <c r="B497" s="1"/>
      <c r="C497" s="1"/>
      <c r="D497" s="1"/>
    </row>
    <row r="498">
      <c r="A498" s="1"/>
      <c r="B498" s="1"/>
      <c r="C498" s="1"/>
      <c r="D498" s="1"/>
    </row>
    <row r="499">
      <c r="A499" s="1"/>
      <c r="B499" s="1"/>
      <c r="C499" s="1"/>
      <c r="D499" s="1"/>
    </row>
    <row r="500">
      <c r="A500" s="1"/>
      <c r="B500" s="1"/>
      <c r="C500" s="1"/>
      <c r="D500" s="1"/>
    </row>
    <row r="501">
      <c r="A501" s="1"/>
      <c r="B501" s="1"/>
      <c r="C501" s="1"/>
      <c r="D501" s="1"/>
    </row>
    <row r="502">
      <c r="A502" s="1"/>
      <c r="B502" s="1"/>
      <c r="C502" s="1"/>
      <c r="D502" s="1"/>
    </row>
    <row r="503">
      <c r="A503" s="1"/>
      <c r="B503" s="1"/>
      <c r="C503" s="1"/>
      <c r="D503" s="1"/>
    </row>
    <row r="504">
      <c r="A504" s="1"/>
      <c r="B504" s="1"/>
      <c r="C504" s="1"/>
      <c r="D504" s="1"/>
    </row>
    <row r="505">
      <c r="A505" s="1"/>
      <c r="B505" s="1"/>
      <c r="C505" s="1"/>
      <c r="D505" s="1"/>
    </row>
    <row r="506">
      <c r="A506" s="1"/>
      <c r="B506" s="1"/>
      <c r="C506" s="1"/>
      <c r="D506" s="1"/>
    </row>
    <row r="507">
      <c r="A507" s="1"/>
      <c r="B507" s="1"/>
      <c r="C507" s="1"/>
      <c r="D507" s="1"/>
    </row>
    <row r="508">
      <c r="A508" s="1"/>
      <c r="B508" s="1"/>
      <c r="C508" s="1"/>
      <c r="D508" s="1"/>
    </row>
    <row r="509">
      <c r="A509" s="1"/>
      <c r="B509" s="1"/>
      <c r="C509" s="1"/>
      <c r="D509" s="1"/>
    </row>
    <row r="510">
      <c r="A510" s="1"/>
      <c r="B510" s="1"/>
      <c r="C510" s="1"/>
      <c r="D510" s="1"/>
    </row>
    <row r="511">
      <c r="A511" s="1"/>
      <c r="B511" s="1"/>
      <c r="C511" s="1"/>
      <c r="D511" s="1"/>
    </row>
    <row r="512">
      <c r="A512" s="1"/>
      <c r="B512" s="1"/>
      <c r="C512" s="1"/>
      <c r="D512" s="1"/>
    </row>
    <row r="513">
      <c r="A513" s="1"/>
      <c r="B513" s="1"/>
      <c r="C513" s="1"/>
      <c r="D513" s="1"/>
    </row>
    <row r="514">
      <c r="A514" s="1"/>
      <c r="B514" s="1"/>
      <c r="C514" s="1"/>
      <c r="D514" s="1"/>
    </row>
    <row r="515">
      <c r="A515" s="1"/>
      <c r="B515" s="1"/>
      <c r="C515" s="1"/>
      <c r="D515" s="1"/>
    </row>
    <row r="516">
      <c r="A516" s="1"/>
      <c r="B516" s="1"/>
      <c r="C516" s="1"/>
      <c r="D516" s="1"/>
    </row>
    <row r="517">
      <c r="A517" s="1"/>
      <c r="B517" s="1"/>
      <c r="C517" s="1"/>
      <c r="D517" s="1"/>
    </row>
    <row r="518">
      <c r="A518" s="1"/>
      <c r="B518" s="1"/>
      <c r="C518" s="1"/>
      <c r="D518" s="1"/>
    </row>
    <row r="519">
      <c r="A519" s="1"/>
      <c r="B519" s="1"/>
      <c r="C519" s="1"/>
      <c r="D519" s="1"/>
    </row>
    <row r="520">
      <c r="A520" s="1"/>
      <c r="B520" s="1"/>
      <c r="C520" s="1"/>
      <c r="D520" s="1"/>
    </row>
    <row r="521">
      <c r="A521" s="1"/>
      <c r="B521" s="1"/>
      <c r="C521" s="1"/>
      <c r="D521" s="1"/>
    </row>
    <row r="522">
      <c r="A522" s="1"/>
      <c r="B522" s="1"/>
      <c r="C522" s="1"/>
      <c r="D522" s="1"/>
    </row>
    <row r="523">
      <c r="A523" s="1"/>
      <c r="B523" s="1"/>
      <c r="C523" s="1"/>
      <c r="D523" s="1"/>
    </row>
    <row r="524">
      <c r="A524" s="1"/>
      <c r="B524" s="1"/>
      <c r="C524" s="1"/>
      <c r="D524" s="1"/>
    </row>
    <row r="525">
      <c r="A525" s="1"/>
      <c r="B525" s="1"/>
      <c r="C525" s="1"/>
      <c r="D525" s="1"/>
    </row>
    <row r="526">
      <c r="A526" s="1"/>
      <c r="B526" s="1"/>
      <c r="C526" s="1"/>
      <c r="D526" s="1"/>
    </row>
    <row r="527">
      <c r="A527" s="1"/>
      <c r="B527" s="1"/>
      <c r="C527" s="1"/>
      <c r="D527" s="1"/>
    </row>
    <row r="528">
      <c r="A528" s="1"/>
      <c r="B528" s="1"/>
      <c r="C528" s="1"/>
      <c r="D528" s="1"/>
    </row>
    <row r="529">
      <c r="A529" s="1"/>
      <c r="B529" s="1"/>
      <c r="C529" s="1"/>
      <c r="D529" s="1"/>
    </row>
    <row r="530">
      <c r="A530" s="1"/>
      <c r="B530" s="1"/>
      <c r="C530" s="1"/>
      <c r="D530" s="1"/>
    </row>
    <row r="531">
      <c r="A531" s="1"/>
      <c r="B531" s="1"/>
      <c r="C531" s="1"/>
      <c r="D531" s="1"/>
    </row>
    <row r="532">
      <c r="A532" s="1"/>
      <c r="B532" s="1"/>
      <c r="C532" s="1"/>
      <c r="D532" s="1"/>
    </row>
    <row r="533">
      <c r="A533" s="1"/>
      <c r="B533" s="1"/>
      <c r="C533" s="1"/>
      <c r="D533" s="1"/>
    </row>
    <row r="534">
      <c r="A534" s="1"/>
      <c r="B534" s="1"/>
      <c r="C534" s="1"/>
      <c r="D534" s="1"/>
    </row>
    <row r="535">
      <c r="A535" s="1"/>
      <c r="B535" s="1"/>
      <c r="C535" s="1"/>
      <c r="D535" s="1"/>
    </row>
    <row r="536">
      <c r="A536" s="1"/>
      <c r="B536" s="1"/>
      <c r="C536" s="1"/>
      <c r="D536" s="1"/>
    </row>
    <row r="537">
      <c r="A537" s="1"/>
      <c r="B537" s="1"/>
      <c r="C537" s="1"/>
      <c r="D537" s="1"/>
    </row>
    <row r="538">
      <c r="A538" s="1"/>
      <c r="B538" s="1"/>
      <c r="C538" s="1"/>
      <c r="D538" s="1"/>
    </row>
    <row r="539">
      <c r="A539" s="1"/>
      <c r="B539" s="1"/>
      <c r="C539" s="1"/>
      <c r="D539" s="1"/>
    </row>
    <row r="540">
      <c r="A540" s="1"/>
      <c r="B540" s="1"/>
      <c r="C540" s="1"/>
      <c r="D540" s="1"/>
    </row>
    <row r="541">
      <c r="A541" s="1"/>
      <c r="B541" s="1"/>
      <c r="C541" s="1"/>
      <c r="D541" s="1"/>
    </row>
    <row r="542">
      <c r="A542" s="1"/>
      <c r="B542" s="1"/>
      <c r="C542" s="1"/>
      <c r="D542" s="1"/>
    </row>
    <row r="543">
      <c r="A543" s="1"/>
      <c r="B543" s="1"/>
      <c r="C543" s="1"/>
      <c r="D543" s="1"/>
    </row>
    <row r="544">
      <c r="A544" s="1"/>
      <c r="B544" s="1"/>
      <c r="C544" s="1"/>
      <c r="D544" s="1"/>
    </row>
    <row r="545">
      <c r="A545" s="1"/>
      <c r="B545" s="1"/>
      <c r="C545" s="1"/>
      <c r="D545" s="1"/>
    </row>
    <row r="546">
      <c r="A546" s="1"/>
      <c r="B546" s="1"/>
      <c r="C546" s="1"/>
      <c r="D546" s="1"/>
    </row>
    <row r="547">
      <c r="A547" s="1"/>
      <c r="B547" s="1"/>
      <c r="C547" s="1"/>
      <c r="D547" s="1"/>
    </row>
    <row r="548">
      <c r="A548" s="1"/>
      <c r="B548" s="1"/>
      <c r="C548" s="1"/>
      <c r="D548" s="1"/>
    </row>
    <row r="549">
      <c r="A549" s="1"/>
      <c r="B549" s="1"/>
      <c r="C549" s="1"/>
      <c r="D549" s="1"/>
    </row>
    <row r="550">
      <c r="A550" s="1"/>
      <c r="B550" s="1"/>
      <c r="C550" s="1"/>
      <c r="D550" s="1"/>
    </row>
    <row r="551">
      <c r="A551" s="1"/>
      <c r="B551" s="1"/>
      <c r="C551" s="1"/>
      <c r="D551" s="1"/>
    </row>
    <row r="552">
      <c r="A552" s="1"/>
      <c r="B552" s="1"/>
      <c r="C552" s="1"/>
      <c r="D552" s="1"/>
    </row>
    <row r="553">
      <c r="A553" s="1"/>
      <c r="B553" s="1"/>
      <c r="C553" s="1"/>
      <c r="D553" s="1"/>
    </row>
    <row r="554">
      <c r="A554" s="1"/>
      <c r="B554" s="1"/>
      <c r="C554" s="1"/>
      <c r="D554" s="1"/>
    </row>
    <row r="555">
      <c r="A555" s="1"/>
      <c r="B555" s="1"/>
      <c r="C555" s="1"/>
      <c r="D555" s="1"/>
    </row>
    <row r="556">
      <c r="A556" s="1"/>
      <c r="B556" s="1"/>
      <c r="C556" s="1"/>
      <c r="D556" s="1"/>
    </row>
    <row r="557">
      <c r="A557" s="1"/>
      <c r="B557" s="1"/>
      <c r="C557" s="1"/>
      <c r="D557" s="1"/>
    </row>
    <row r="558">
      <c r="A558" s="1"/>
      <c r="B558" s="1"/>
      <c r="C558" s="1"/>
      <c r="D558" s="1"/>
    </row>
    <row r="559">
      <c r="A559" s="1"/>
      <c r="B559" s="1"/>
      <c r="C559" s="1"/>
      <c r="D559" s="1"/>
    </row>
    <row r="560">
      <c r="A560" s="1"/>
      <c r="B560" s="1"/>
      <c r="C560" s="1"/>
      <c r="D560" s="1"/>
    </row>
    <row r="561">
      <c r="A561" s="1"/>
      <c r="B561" s="1"/>
      <c r="C561" s="1"/>
      <c r="D561" s="1"/>
    </row>
    <row r="562">
      <c r="A562" s="1"/>
      <c r="B562" s="1"/>
      <c r="C562" s="1"/>
      <c r="D562" s="1"/>
    </row>
    <row r="563">
      <c r="A563" s="1"/>
      <c r="B563" s="1"/>
      <c r="C563" s="1"/>
      <c r="D563" s="1"/>
    </row>
    <row r="564">
      <c r="A564" s="1"/>
      <c r="B564" s="1"/>
      <c r="C564" s="1"/>
      <c r="D564" s="1"/>
    </row>
    <row r="565">
      <c r="A565" s="1"/>
      <c r="B565" s="1"/>
      <c r="C565" s="1"/>
      <c r="D565" s="1"/>
    </row>
    <row r="566">
      <c r="A566" s="1"/>
      <c r="B566" s="1"/>
      <c r="C566" s="1"/>
      <c r="D566" s="1"/>
    </row>
    <row r="567">
      <c r="A567" s="1"/>
      <c r="B567" s="1"/>
      <c r="C567" s="1"/>
      <c r="D567" s="1"/>
    </row>
    <row r="568">
      <c r="A568" s="1"/>
      <c r="B568" s="1"/>
      <c r="C568" s="1"/>
      <c r="D568" s="1"/>
    </row>
    <row r="569">
      <c r="A569" s="1"/>
      <c r="B569" s="1"/>
      <c r="C569" s="1"/>
      <c r="D569" s="1"/>
    </row>
    <row r="570">
      <c r="A570" s="1"/>
      <c r="B570" s="1"/>
      <c r="C570" s="1"/>
      <c r="D570" s="1"/>
    </row>
    <row r="571">
      <c r="A571" s="1"/>
      <c r="B571" s="1"/>
      <c r="C571" s="1"/>
      <c r="D571" s="1"/>
    </row>
    <row r="572">
      <c r="A572" s="1"/>
      <c r="B572" s="1"/>
      <c r="C572" s="1"/>
      <c r="D572" s="1"/>
    </row>
    <row r="573">
      <c r="A573" s="1"/>
      <c r="B573" s="1"/>
      <c r="C573" s="1"/>
      <c r="D573" s="1"/>
    </row>
    <row r="574">
      <c r="A574" s="1"/>
      <c r="B574" s="1"/>
      <c r="C574" s="1"/>
      <c r="D574" s="1"/>
    </row>
    <row r="575">
      <c r="A575" s="1"/>
      <c r="B575" s="1"/>
      <c r="C575" s="1"/>
      <c r="D575" s="1"/>
    </row>
    <row r="576">
      <c r="A576" s="1"/>
      <c r="B576" s="1"/>
      <c r="C576" s="1"/>
      <c r="D576" s="1"/>
    </row>
    <row r="577">
      <c r="A577" s="1"/>
      <c r="B577" s="1"/>
      <c r="C577" s="1"/>
      <c r="D577" s="1"/>
    </row>
    <row r="578">
      <c r="A578" s="1"/>
      <c r="B578" s="1"/>
      <c r="C578" s="1"/>
      <c r="D578" s="1"/>
    </row>
    <row r="579">
      <c r="A579" s="1"/>
      <c r="B579" s="1"/>
      <c r="C579" s="1"/>
      <c r="D579" s="1"/>
    </row>
    <row r="580">
      <c r="A580" s="1"/>
      <c r="B580" s="1"/>
      <c r="C580" s="1"/>
      <c r="D580" s="1"/>
    </row>
    <row r="581">
      <c r="A581" s="1"/>
      <c r="B581" s="1"/>
      <c r="C581" s="1"/>
      <c r="D581" s="1"/>
    </row>
    <row r="582">
      <c r="A582" s="1"/>
      <c r="B582" s="1"/>
      <c r="C582" s="1"/>
      <c r="D582" s="1"/>
    </row>
    <row r="583">
      <c r="A583" s="1"/>
      <c r="B583" s="1"/>
      <c r="C583" s="1"/>
      <c r="D583" s="1"/>
    </row>
    <row r="584">
      <c r="A584" s="1"/>
      <c r="B584" s="1"/>
      <c r="C584" s="1"/>
      <c r="D584" s="1"/>
    </row>
    <row r="585">
      <c r="A585" s="1"/>
      <c r="B585" s="1"/>
      <c r="C585" s="1"/>
      <c r="D585" s="1"/>
    </row>
    <row r="586">
      <c r="A586" s="1"/>
      <c r="B586" s="1"/>
      <c r="C586" s="1"/>
      <c r="D586" s="1"/>
    </row>
    <row r="587">
      <c r="A587" s="1"/>
      <c r="B587" s="1"/>
      <c r="C587" s="1"/>
      <c r="D587" s="1"/>
    </row>
    <row r="588">
      <c r="A588" s="1"/>
      <c r="B588" s="1"/>
      <c r="C588" s="1"/>
      <c r="D588" s="1"/>
    </row>
    <row r="589">
      <c r="A589" s="1"/>
      <c r="B589" s="1"/>
      <c r="C589" s="1"/>
      <c r="D589" s="1"/>
    </row>
    <row r="590">
      <c r="A590" s="1"/>
      <c r="B590" s="1"/>
      <c r="C590" s="1"/>
      <c r="D590" s="1"/>
    </row>
    <row r="591">
      <c r="A591" s="1"/>
      <c r="B591" s="1"/>
      <c r="C591" s="1"/>
      <c r="D591" s="1"/>
    </row>
    <row r="592">
      <c r="A592" s="1"/>
      <c r="B592" s="1"/>
      <c r="C592" s="1"/>
      <c r="D592" s="1"/>
    </row>
    <row r="593">
      <c r="A593" s="1"/>
      <c r="B593" s="1"/>
      <c r="C593" s="1"/>
      <c r="D593" s="1"/>
    </row>
    <row r="594">
      <c r="A594" s="1"/>
      <c r="B594" s="1"/>
      <c r="C594" s="1"/>
      <c r="D594" s="1"/>
    </row>
    <row r="595">
      <c r="A595" s="1"/>
      <c r="B595" s="1"/>
      <c r="C595" s="1"/>
      <c r="D595" s="1"/>
    </row>
    <row r="596">
      <c r="A596" s="1"/>
      <c r="B596" s="1"/>
      <c r="C596" s="1"/>
      <c r="D596" s="1"/>
    </row>
    <row r="597">
      <c r="A597" s="1"/>
      <c r="B597" s="1"/>
      <c r="C597" s="1"/>
      <c r="D597" s="1"/>
    </row>
    <row r="598">
      <c r="A598" s="1"/>
      <c r="B598" s="1"/>
      <c r="C598" s="1"/>
      <c r="D598" s="1"/>
    </row>
    <row r="599">
      <c r="A599" s="1"/>
      <c r="B599" s="1"/>
      <c r="C599" s="1"/>
      <c r="D599" s="1"/>
    </row>
    <row r="600">
      <c r="A600" s="1"/>
      <c r="B600" s="1"/>
      <c r="C600" s="1"/>
      <c r="D600" s="1"/>
    </row>
    <row r="601">
      <c r="A601" s="1"/>
      <c r="B601" s="1"/>
      <c r="C601" s="1"/>
      <c r="D601" s="1"/>
    </row>
    <row r="602">
      <c r="A602" s="1"/>
      <c r="B602" s="1"/>
      <c r="C602" s="1"/>
      <c r="D602" s="1"/>
    </row>
    <row r="603">
      <c r="A603" s="1"/>
      <c r="B603" s="1"/>
      <c r="C603" s="1"/>
      <c r="D603" s="1"/>
    </row>
    <row r="604">
      <c r="A604" s="1"/>
      <c r="B604" s="1"/>
      <c r="C604" s="1"/>
      <c r="D604" s="1"/>
    </row>
    <row r="605">
      <c r="A605" s="1"/>
      <c r="B605" s="1"/>
      <c r="C605" s="1"/>
      <c r="D605" s="1"/>
    </row>
    <row r="606">
      <c r="A606" s="1"/>
      <c r="B606" s="1"/>
      <c r="C606" s="1"/>
      <c r="D606" s="1"/>
    </row>
    <row r="607">
      <c r="A607" s="1"/>
      <c r="B607" s="1"/>
      <c r="C607" s="1"/>
      <c r="D607" s="1"/>
    </row>
    <row r="608">
      <c r="A608" s="1"/>
      <c r="B608" s="1"/>
      <c r="C608" s="1"/>
      <c r="D608" s="1"/>
    </row>
    <row r="609">
      <c r="A609" s="1"/>
      <c r="B609" s="1"/>
      <c r="C609" s="1"/>
      <c r="D609" s="1"/>
    </row>
    <row r="610">
      <c r="A610" s="1"/>
      <c r="B610" s="1"/>
      <c r="C610" s="1"/>
      <c r="D610" s="1"/>
    </row>
    <row r="611">
      <c r="A611" s="1"/>
      <c r="B611" s="1"/>
      <c r="C611" s="1"/>
      <c r="D611" s="1"/>
    </row>
    <row r="612">
      <c r="A612" s="1"/>
      <c r="B612" s="1"/>
      <c r="C612" s="1"/>
      <c r="D612" s="1"/>
    </row>
    <row r="613">
      <c r="A613" s="1"/>
      <c r="B613" s="1"/>
      <c r="C613" s="1"/>
      <c r="D613" s="1"/>
    </row>
    <row r="614">
      <c r="A614" s="1"/>
      <c r="B614" s="1"/>
      <c r="C614" s="1"/>
      <c r="D614" s="1"/>
    </row>
    <row r="615">
      <c r="A615" s="1"/>
      <c r="B615" s="1"/>
      <c r="C615" s="1"/>
      <c r="D615" s="1"/>
    </row>
    <row r="616">
      <c r="A616" s="1"/>
      <c r="B616" s="1"/>
      <c r="C616" s="1"/>
      <c r="D616" s="1"/>
    </row>
    <row r="617">
      <c r="A617" s="1"/>
      <c r="B617" s="1"/>
      <c r="C617" s="1"/>
      <c r="D617" s="1"/>
    </row>
    <row r="618">
      <c r="A618" s="1"/>
      <c r="B618" s="1"/>
      <c r="C618" s="1"/>
      <c r="D618" s="1"/>
    </row>
    <row r="619">
      <c r="A619" s="1"/>
      <c r="B619" s="1"/>
      <c r="C619" s="1"/>
      <c r="D619" s="1"/>
    </row>
    <row r="620">
      <c r="A620" s="1"/>
      <c r="B620" s="1"/>
      <c r="C620" s="1"/>
      <c r="D620" s="1"/>
    </row>
    <row r="621">
      <c r="A621" s="1"/>
      <c r="B621" s="1"/>
      <c r="C621" s="1"/>
      <c r="D621" s="1"/>
    </row>
    <row r="622">
      <c r="A622" s="1"/>
      <c r="B622" s="1"/>
      <c r="C622" s="1"/>
      <c r="D622" s="1"/>
    </row>
    <row r="623">
      <c r="A623" s="1"/>
      <c r="B623" s="1"/>
      <c r="C623" s="1"/>
      <c r="D623" s="1"/>
    </row>
    <row r="624">
      <c r="A624" s="1"/>
      <c r="B624" s="1"/>
      <c r="C624" s="1"/>
      <c r="D624" s="1"/>
    </row>
    <row r="625">
      <c r="A625" s="1"/>
      <c r="B625" s="1"/>
      <c r="C625" s="1"/>
      <c r="D625" s="1"/>
    </row>
    <row r="626">
      <c r="A626" s="1"/>
      <c r="B626" s="1"/>
      <c r="C626" s="1"/>
      <c r="D626" s="1"/>
    </row>
    <row r="627">
      <c r="A627" s="1"/>
      <c r="B627" s="1"/>
      <c r="C627" s="1"/>
      <c r="D627" s="1"/>
    </row>
    <row r="628">
      <c r="A628" s="1"/>
      <c r="B628" s="1"/>
      <c r="C628" s="1"/>
      <c r="D628" s="1"/>
    </row>
    <row r="629">
      <c r="A629" s="1"/>
      <c r="B629" s="1"/>
      <c r="C629" s="1"/>
      <c r="D629" s="1"/>
    </row>
    <row r="630">
      <c r="A630" s="1"/>
      <c r="B630" s="1"/>
      <c r="C630" s="1"/>
      <c r="D630" s="1"/>
    </row>
    <row r="631">
      <c r="A631" s="1"/>
      <c r="B631" s="1"/>
      <c r="C631" s="1"/>
      <c r="D631" s="1"/>
    </row>
    <row r="632">
      <c r="A632" s="1"/>
      <c r="B632" s="1"/>
      <c r="C632" s="1"/>
      <c r="D632" s="1"/>
    </row>
    <row r="633">
      <c r="A633" s="1"/>
      <c r="B633" s="1"/>
      <c r="C633" s="1"/>
      <c r="D633" s="1"/>
    </row>
    <row r="634">
      <c r="A634" s="1"/>
      <c r="B634" s="1"/>
      <c r="C634" s="1"/>
      <c r="D634" s="1"/>
    </row>
    <row r="635">
      <c r="A635" s="1"/>
      <c r="B635" s="1"/>
      <c r="C635" s="1"/>
      <c r="D635" s="1"/>
    </row>
    <row r="636">
      <c r="A636" s="1"/>
      <c r="B636" s="1"/>
      <c r="C636" s="1"/>
      <c r="D636" s="1"/>
    </row>
    <row r="637">
      <c r="A637" s="1"/>
      <c r="B637" s="1"/>
      <c r="C637" s="1"/>
      <c r="D637" s="1"/>
    </row>
    <row r="638">
      <c r="A638" s="1"/>
      <c r="B638" s="1"/>
      <c r="C638" s="1"/>
      <c r="D638" s="1"/>
    </row>
    <row r="639">
      <c r="A639" s="1"/>
      <c r="B639" s="1"/>
      <c r="C639" s="1"/>
      <c r="D639" s="1"/>
    </row>
    <row r="640">
      <c r="A640" s="1"/>
      <c r="B640" s="1"/>
      <c r="C640" s="1"/>
      <c r="D640" s="1"/>
    </row>
    <row r="641">
      <c r="A641" s="1"/>
      <c r="B641" s="1"/>
      <c r="C641" s="1"/>
      <c r="D641" s="1"/>
    </row>
    <row r="642">
      <c r="A642" s="1"/>
      <c r="B642" s="1"/>
      <c r="C642" s="1"/>
      <c r="D642" s="1"/>
    </row>
    <row r="643">
      <c r="A643" s="1"/>
      <c r="B643" s="1"/>
      <c r="C643" s="1"/>
      <c r="D643" s="1"/>
    </row>
    <row r="644">
      <c r="A644" s="1"/>
      <c r="B644" s="1"/>
      <c r="C644" s="1"/>
      <c r="D644" s="1"/>
    </row>
    <row r="645">
      <c r="A645" s="1"/>
      <c r="B645" s="1"/>
      <c r="C645" s="1"/>
      <c r="D645" s="1"/>
    </row>
    <row r="646">
      <c r="A646" s="1"/>
      <c r="B646" s="1"/>
      <c r="C646" s="1"/>
      <c r="D646" s="1"/>
    </row>
    <row r="647">
      <c r="A647" s="1"/>
      <c r="B647" s="1"/>
      <c r="C647" s="1"/>
      <c r="D647" s="1"/>
    </row>
    <row r="648">
      <c r="A648" s="1"/>
      <c r="B648" s="1"/>
      <c r="C648" s="1"/>
      <c r="D648" s="1"/>
    </row>
    <row r="649">
      <c r="A649" s="1"/>
      <c r="B649" s="1"/>
      <c r="C649" s="1"/>
      <c r="D649" s="1"/>
    </row>
    <row r="650">
      <c r="A650" s="1"/>
      <c r="B650" s="1"/>
      <c r="C650" s="1"/>
      <c r="D650" s="1"/>
    </row>
    <row r="651">
      <c r="A651" s="1"/>
      <c r="B651" s="1"/>
      <c r="C651" s="1"/>
      <c r="D651" s="1"/>
    </row>
    <row r="652">
      <c r="A652" s="1"/>
      <c r="B652" s="1"/>
      <c r="C652" s="1"/>
      <c r="D652" s="1"/>
    </row>
    <row r="653">
      <c r="A653" s="1"/>
      <c r="B653" s="1"/>
      <c r="C653" s="1"/>
      <c r="D653" s="1"/>
    </row>
    <row r="654">
      <c r="A654" s="1"/>
      <c r="B654" s="1"/>
      <c r="C654" s="1"/>
      <c r="D654" s="1"/>
    </row>
    <row r="655">
      <c r="A655" s="1"/>
      <c r="B655" s="1"/>
      <c r="C655" s="1"/>
      <c r="D655" s="1"/>
    </row>
    <row r="656">
      <c r="A656" s="1"/>
      <c r="B656" s="1"/>
      <c r="C656" s="1"/>
      <c r="D656" s="1"/>
    </row>
    <row r="657">
      <c r="A657" s="1"/>
      <c r="B657" s="1"/>
      <c r="C657" s="1"/>
      <c r="D657" s="1"/>
    </row>
    <row r="658">
      <c r="A658" s="1"/>
      <c r="B658" s="1"/>
      <c r="C658" s="1"/>
      <c r="D658" s="1"/>
    </row>
    <row r="659">
      <c r="A659" s="1"/>
      <c r="B659" s="1"/>
      <c r="C659" s="1"/>
      <c r="D659" s="1"/>
    </row>
    <row r="660">
      <c r="A660" s="1"/>
      <c r="B660" s="1"/>
      <c r="C660" s="1"/>
      <c r="D660" s="1"/>
    </row>
    <row r="661">
      <c r="A661" s="1"/>
      <c r="B661" s="1"/>
      <c r="C661" s="1"/>
      <c r="D661" s="1"/>
    </row>
    <row r="662">
      <c r="A662" s="1"/>
      <c r="B662" s="1"/>
      <c r="C662" s="1"/>
      <c r="D662" s="1"/>
    </row>
    <row r="663">
      <c r="A663" s="1"/>
      <c r="B663" s="1"/>
      <c r="C663" s="1"/>
      <c r="D663" s="1"/>
    </row>
    <row r="664">
      <c r="A664" s="1"/>
      <c r="B664" s="1"/>
      <c r="C664" s="1"/>
      <c r="D664" s="1"/>
    </row>
    <row r="665">
      <c r="A665" s="1"/>
      <c r="B665" s="1"/>
      <c r="C665" s="1"/>
      <c r="D665" s="1"/>
    </row>
    <row r="666">
      <c r="A666" s="1"/>
      <c r="B666" s="1"/>
      <c r="C666" s="1"/>
      <c r="D666" s="1"/>
    </row>
    <row r="667">
      <c r="A667" s="1"/>
      <c r="B667" s="1"/>
      <c r="C667" s="1"/>
      <c r="D667" s="1"/>
    </row>
    <row r="668">
      <c r="A668" s="1"/>
      <c r="B668" s="1"/>
      <c r="C668" s="1"/>
      <c r="D668" s="1"/>
    </row>
    <row r="669">
      <c r="A669" s="1"/>
      <c r="B669" s="1"/>
      <c r="C669" s="1"/>
      <c r="D669" s="1"/>
    </row>
    <row r="670">
      <c r="A670" s="1"/>
      <c r="B670" s="1"/>
      <c r="C670" s="1"/>
      <c r="D670" s="1"/>
    </row>
    <row r="671">
      <c r="A671" s="1"/>
      <c r="B671" s="1"/>
      <c r="C671" s="1"/>
      <c r="D671" s="1"/>
    </row>
    <row r="672">
      <c r="A672" s="1"/>
      <c r="B672" s="1"/>
      <c r="C672" s="1"/>
      <c r="D672" s="1"/>
    </row>
    <row r="673">
      <c r="A673" s="1"/>
      <c r="B673" s="1"/>
      <c r="C673" s="1"/>
      <c r="D673" s="1"/>
    </row>
    <row r="674">
      <c r="A674" s="1"/>
      <c r="B674" s="1"/>
      <c r="C674" s="1"/>
      <c r="D674" s="1"/>
    </row>
    <row r="675">
      <c r="A675" s="1"/>
      <c r="B675" s="1"/>
      <c r="C675" s="1"/>
      <c r="D675" s="1"/>
    </row>
    <row r="676">
      <c r="A676" s="1"/>
      <c r="B676" s="1"/>
      <c r="C676" s="1"/>
      <c r="D676" s="1"/>
    </row>
    <row r="677">
      <c r="A677" s="1"/>
      <c r="B677" s="1"/>
      <c r="C677" s="1"/>
      <c r="D677" s="1"/>
    </row>
    <row r="678">
      <c r="A678" s="1"/>
      <c r="B678" s="1"/>
      <c r="C678" s="1"/>
      <c r="D678" s="1"/>
    </row>
    <row r="679">
      <c r="A679" s="1"/>
      <c r="B679" s="1"/>
      <c r="C679" s="1"/>
      <c r="D679" s="1"/>
    </row>
    <row r="680">
      <c r="A680" s="1"/>
      <c r="B680" s="1"/>
      <c r="C680" s="1"/>
      <c r="D680" s="1"/>
    </row>
    <row r="681">
      <c r="A681" s="1"/>
      <c r="B681" s="1"/>
      <c r="C681" s="1"/>
      <c r="D681" s="1"/>
    </row>
    <row r="682">
      <c r="A682" s="1"/>
      <c r="B682" s="1"/>
      <c r="C682" s="1"/>
      <c r="D682" s="1"/>
    </row>
    <row r="683">
      <c r="A683" s="1"/>
      <c r="B683" s="1"/>
      <c r="C683" s="1"/>
      <c r="D683" s="1"/>
    </row>
    <row r="684">
      <c r="A684" s="1"/>
      <c r="B684" s="1"/>
      <c r="C684" s="1"/>
      <c r="D684" s="1"/>
    </row>
    <row r="685">
      <c r="A685" s="1"/>
      <c r="B685" s="1"/>
      <c r="C685" s="1"/>
      <c r="D685" s="1"/>
    </row>
    <row r="686">
      <c r="A686" s="1"/>
      <c r="B686" s="1"/>
      <c r="C686" s="1"/>
      <c r="D686" s="1"/>
    </row>
    <row r="687">
      <c r="A687" s="1"/>
      <c r="B687" s="1"/>
      <c r="C687" s="1"/>
      <c r="D687" s="1"/>
    </row>
    <row r="688">
      <c r="A688" s="1"/>
      <c r="B688" s="1"/>
      <c r="C688" s="1"/>
      <c r="D688" s="1"/>
    </row>
    <row r="689">
      <c r="A689" s="1"/>
      <c r="B689" s="1"/>
      <c r="C689" s="1"/>
      <c r="D689" s="1"/>
    </row>
    <row r="690">
      <c r="A690" s="1"/>
      <c r="B690" s="1"/>
      <c r="C690" s="1"/>
      <c r="D690" s="1"/>
    </row>
    <row r="691">
      <c r="A691" s="1"/>
      <c r="B691" s="1"/>
      <c r="C691" s="1"/>
      <c r="D691" s="1"/>
    </row>
    <row r="692">
      <c r="A692" s="1"/>
      <c r="B692" s="1"/>
      <c r="C692" s="1"/>
      <c r="D692" s="1"/>
    </row>
    <row r="693">
      <c r="A693" s="1"/>
      <c r="B693" s="1"/>
      <c r="C693" s="1"/>
      <c r="D693" s="1"/>
    </row>
    <row r="694">
      <c r="A694" s="1"/>
      <c r="B694" s="1"/>
      <c r="C694" s="1"/>
      <c r="D694" s="1"/>
    </row>
    <row r="695">
      <c r="A695" s="1"/>
      <c r="B695" s="1"/>
      <c r="C695" s="1"/>
      <c r="D695" s="1"/>
    </row>
    <row r="696">
      <c r="A696" s="1"/>
      <c r="B696" s="1"/>
      <c r="C696" s="1"/>
      <c r="D696" s="1"/>
    </row>
    <row r="697">
      <c r="A697" s="1"/>
      <c r="B697" s="1"/>
      <c r="C697" s="1"/>
      <c r="D697" s="1"/>
    </row>
    <row r="698">
      <c r="A698" s="1"/>
      <c r="B698" s="1"/>
      <c r="C698" s="1"/>
      <c r="D698" s="1"/>
    </row>
    <row r="699">
      <c r="A699" s="1"/>
      <c r="B699" s="1"/>
      <c r="C699" s="1"/>
      <c r="D699" s="1"/>
    </row>
    <row r="700">
      <c r="A700" s="1"/>
      <c r="B700" s="1"/>
      <c r="C700" s="1"/>
      <c r="D700" s="1"/>
    </row>
    <row r="701">
      <c r="A701" s="1"/>
      <c r="B701" s="1"/>
      <c r="C701" s="1"/>
      <c r="D701" s="1"/>
    </row>
    <row r="702">
      <c r="A702" s="1"/>
      <c r="B702" s="1"/>
      <c r="C702" s="1"/>
      <c r="D702" s="1"/>
    </row>
    <row r="703">
      <c r="A703" s="1"/>
      <c r="B703" s="1"/>
      <c r="C703" s="1"/>
      <c r="D703" s="1"/>
    </row>
    <row r="704">
      <c r="A704" s="1"/>
      <c r="B704" s="1"/>
      <c r="C704" s="1"/>
      <c r="D704" s="1"/>
    </row>
    <row r="705">
      <c r="A705" s="1"/>
      <c r="B705" s="1"/>
      <c r="C705" s="1"/>
      <c r="D705" s="1"/>
    </row>
    <row r="706">
      <c r="A706" s="1"/>
      <c r="B706" s="1"/>
      <c r="C706" s="1"/>
      <c r="D706" s="1"/>
    </row>
    <row r="707">
      <c r="A707" s="1"/>
      <c r="B707" s="1"/>
      <c r="C707" s="1"/>
      <c r="D707" s="1"/>
    </row>
    <row r="708">
      <c r="A708" s="1"/>
      <c r="B708" s="1"/>
      <c r="C708" s="1"/>
      <c r="D708" s="1"/>
    </row>
    <row r="709">
      <c r="A709" s="1"/>
      <c r="B709" s="1"/>
      <c r="C709" s="1"/>
      <c r="D709" s="1"/>
    </row>
    <row r="710">
      <c r="A710" s="1"/>
      <c r="B710" s="1"/>
      <c r="C710" s="1"/>
      <c r="D710" s="1"/>
    </row>
    <row r="711">
      <c r="A711" s="1"/>
      <c r="B711" s="1"/>
      <c r="C711" s="1"/>
      <c r="D711" s="1"/>
    </row>
    <row r="712">
      <c r="A712" s="1"/>
      <c r="B712" s="1"/>
      <c r="C712" s="1"/>
      <c r="D712" s="1"/>
    </row>
    <row r="713">
      <c r="A713" s="1"/>
      <c r="B713" s="1"/>
      <c r="C713" s="1"/>
      <c r="D713" s="1"/>
    </row>
    <row r="714">
      <c r="A714" s="1"/>
      <c r="B714" s="1"/>
      <c r="C714" s="1"/>
      <c r="D714" s="1"/>
    </row>
    <row r="715">
      <c r="A715" s="1"/>
      <c r="B715" s="1"/>
      <c r="C715" s="1"/>
      <c r="D715" s="1"/>
    </row>
    <row r="716">
      <c r="A716" s="1"/>
      <c r="B716" s="1"/>
      <c r="C716" s="1"/>
      <c r="D716" s="1"/>
    </row>
    <row r="717">
      <c r="A717" s="1"/>
      <c r="B717" s="1"/>
      <c r="C717" s="1"/>
      <c r="D717" s="1"/>
    </row>
    <row r="718">
      <c r="A718" s="1"/>
      <c r="B718" s="1"/>
      <c r="C718" s="1"/>
      <c r="D718" s="1"/>
    </row>
    <row r="719">
      <c r="A719" s="1"/>
      <c r="B719" s="1"/>
      <c r="C719" s="1"/>
      <c r="D719" s="1"/>
    </row>
    <row r="720">
      <c r="A720" s="1"/>
      <c r="B720" s="1"/>
      <c r="C720" s="1"/>
      <c r="D720" s="1"/>
    </row>
    <row r="721">
      <c r="A721" s="1"/>
      <c r="B721" s="1"/>
      <c r="C721" s="1"/>
      <c r="D721" s="1"/>
    </row>
    <row r="722">
      <c r="A722" s="1"/>
      <c r="B722" s="1"/>
      <c r="C722" s="1"/>
      <c r="D722" s="1"/>
    </row>
    <row r="723">
      <c r="A723" s="1"/>
      <c r="B723" s="1"/>
      <c r="C723" s="1"/>
      <c r="D723" s="1"/>
    </row>
    <row r="724">
      <c r="A724" s="1"/>
      <c r="B724" s="1"/>
      <c r="C724" s="1"/>
      <c r="D724" s="1"/>
    </row>
    <row r="725">
      <c r="A725" s="1"/>
      <c r="B725" s="1"/>
      <c r="C725" s="1"/>
      <c r="D725" s="1"/>
    </row>
    <row r="726">
      <c r="A726" s="1"/>
      <c r="B726" s="1"/>
      <c r="C726" s="1"/>
      <c r="D726" s="1"/>
    </row>
    <row r="727">
      <c r="A727" s="1"/>
      <c r="B727" s="1"/>
      <c r="C727" s="1"/>
      <c r="D727" s="1"/>
    </row>
    <row r="728">
      <c r="A728" s="1"/>
      <c r="B728" s="1"/>
      <c r="C728" s="1"/>
      <c r="D728" s="1"/>
    </row>
    <row r="729">
      <c r="A729" s="1"/>
      <c r="B729" s="1"/>
      <c r="C729" s="1"/>
      <c r="D729" s="1"/>
    </row>
    <row r="730">
      <c r="A730" s="1"/>
      <c r="B730" s="1"/>
      <c r="C730" s="1"/>
      <c r="D730" s="1"/>
    </row>
    <row r="731">
      <c r="A731" s="1"/>
      <c r="B731" s="1"/>
      <c r="C731" s="1"/>
      <c r="D731" s="1"/>
    </row>
    <row r="732">
      <c r="A732" s="1"/>
      <c r="B732" s="1"/>
      <c r="C732" s="1"/>
      <c r="D732" s="1"/>
    </row>
    <row r="733">
      <c r="A733" s="1"/>
      <c r="B733" s="1"/>
      <c r="C733" s="1"/>
      <c r="D733" s="1"/>
    </row>
    <row r="734">
      <c r="A734" s="1"/>
      <c r="B734" s="1"/>
      <c r="C734" s="1"/>
      <c r="D734" s="1"/>
    </row>
    <row r="735">
      <c r="A735" s="1"/>
      <c r="B735" s="1"/>
      <c r="C735" s="1"/>
      <c r="D735" s="1"/>
    </row>
    <row r="736">
      <c r="A736" s="1"/>
      <c r="B736" s="1"/>
      <c r="C736" s="1"/>
      <c r="D736" s="1"/>
    </row>
    <row r="737">
      <c r="A737" s="1"/>
      <c r="B737" s="1"/>
      <c r="C737" s="1"/>
      <c r="D737" s="1"/>
    </row>
    <row r="738">
      <c r="A738" s="1"/>
      <c r="B738" s="1"/>
      <c r="C738" s="1"/>
      <c r="D738" s="1"/>
    </row>
    <row r="739">
      <c r="A739" s="1"/>
      <c r="B739" s="1"/>
      <c r="C739" s="1"/>
      <c r="D739" s="1"/>
    </row>
    <row r="740">
      <c r="A740" s="1"/>
      <c r="B740" s="1"/>
      <c r="C740" s="1"/>
      <c r="D740" s="1"/>
    </row>
    <row r="741">
      <c r="A741" s="1"/>
      <c r="B741" s="1"/>
      <c r="C741" s="1"/>
      <c r="D741" s="1"/>
    </row>
    <row r="742">
      <c r="A742" s="1"/>
      <c r="B742" s="1"/>
      <c r="C742" s="1"/>
      <c r="D742" s="1"/>
    </row>
    <row r="743">
      <c r="A743" s="1"/>
      <c r="B743" s="1"/>
      <c r="C743" s="1"/>
      <c r="D743" s="1"/>
    </row>
    <row r="744">
      <c r="A744" s="1"/>
      <c r="B744" s="1"/>
      <c r="C744" s="1"/>
      <c r="D744" s="1"/>
    </row>
    <row r="745">
      <c r="A745" s="1"/>
      <c r="B745" s="1"/>
      <c r="C745" s="1"/>
      <c r="D745" s="1"/>
    </row>
    <row r="746">
      <c r="A746" s="1"/>
      <c r="B746" s="1"/>
      <c r="C746" s="1"/>
      <c r="D746" s="1"/>
    </row>
    <row r="747">
      <c r="A747" s="1"/>
      <c r="B747" s="1"/>
      <c r="C747" s="1"/>
      <c r="D747" s="1"/>
    </row>
    <row r="748">
      <c r="A748" s="1"/>
      <c r="B748" s="1"/>
      <c r="C748" s="1"/>
      <c r="D748" s="1"/>
    </row>
    <row r="749">
      <c r="A749" s="1"/>
      <c r="B749" s="1"/>
      <c r="C749" s="1"/>
      <c r="D749" s="1"/>
    </row>
    <row r="750">
      <c r="A750" s="1"/>
      <c r="B750" s="1"/>
      <c r="C750" s="1"/>
      <c r="D750" s="1"/>
    </row>
    <row r="751">
      <c r="A751" s="1"/>
      <c r="B751" s="1"/>
      <c r="C751" s="1"/>
      <c r="D751" s="1"/>
    </row>
    <row r="752">
      <c r="A752" s="1"/>
      <c r="B752" s="1"/>
      <c r="C752" s="1"/>
      <c r="D752" s="1"/>
    </row>
    <row r="753">
      <c r="A753" s="1"/>
      <c r="B753" s="1"/>
      <c r="C753" s="1"/>
      <c r="D753" s="1"/>
    </row>
    <row r="754">
      <c r="A754" s="1"/>
      <c r="B754" s="1"/>
      <c r="C754" s="1"/>
      <c r="D754" s="1"/>
    </row>
    <row r="755">
      <c r="A755" s="1"/>
      <c r="B755" s="1"/>
      <c r="C755" s="1"/>
      <c r="D755" s="1"/>
    </row>
    <row r="756">
      <c r="A756" s="1"/>
      <c r="B756" s="1"/>
      <c r="C756" s="1"/>
      <c r="D756" s="1"/>
    </row>
    <row r="757">
      <c r="A757" s="1"/>
      <c r="B757" s="1"/>
      <c r="C757" s="1"/>
      <c r="D757" s="1"/>
    </row>
    <row r="758">
      <c r="A758" s="1"/>
      <c r="B758" s="1"/>
      <c r="C758" s="1"/>
      <c r="D758" s="1"/>
    </row>
    <row r="759">
      <c r="A759" s="1"/>
      <c r="B759" s="1"/>
      <c r="C759" s="1"/>
      <c r="D759" s="1"/>
    </row>
    <row r="760">
      <c r="A760" s="1"/>
      <c r="B760" s="1"/>
      <c r="C760" s="1"/>
      <c r="D760" s="1"/>
    </row>
    <row r="761">
      <c r="A761" s="1"/>
      <c r="B761" s="1"/>
      <c r="C761" s="1"/>
      <c r="D761" s="1"/>
    </row>
    <row r="762">
      <c r="A762" s="1"/>
      <c r="B762" s="1"/>
      <c r="C762" s="1"/>
      <c r="D762" s="1"/>
    </row>
    <row r="763">
      <c r="A763" s="1"/>
      <c r="B763" s="1"/>
      <c r="C763" s="1"/>
      <c r="D763" s="1"/>
    </row>
    <row r="764">
      <c r="A764" s="1"/>
      <c r="B764" s="1"/>
      <c r="C764" s="1"/>
      <c r="D764" s="1"/>
    </row>
    <row r="765">
      <c r="A765" s="1"/>
      <c r="B765" s="1"/>
      <c r="C765" s="1"/>
      <c r="D765" s="1"/>
    </row>
    <row r="766">
      <c r="A766" s="1"/>
      <c r="B766" s="1"/>
      <c r="C766" s="1"/>
      <c r="D766" s="1"/>
    </row>
    <row r="767">
      <c r="A767" s="1"/>
      <c r="B767" s="1"/>
      <c r="C767" s="1"/>
      <c r="D767" s="1"/>
    </row>
    <row r="768">
      <c r="A768" s="1"/>
      <c r="B768" s="1"/>
      <c r="C768" s="1"/>
      <c r="D768" s="1"/>
    </row>
    <row r="769">
      <c r="A769" s="1"/>
      <c r="B769" s="1"/>
      <c r="C769" s="1"/>
      <c r="D769" s="1"/>
    </row>
    <row r="770">
      <c r="A770" s="1"/>
      <c r="B770" s="1"/>
      <c r="C770" s="1"/>
      <c r="D770" s="1"/>
    </row>
    <row r="771">
      <c r="A771" s="1"/>
      <c r="B771" s="1"/>
      <c r="C771" s="1"/>
      <c r="D771" s="1"/>
    </row>
    <row r="772">
      <c r="A772" s="1"/>
      <c r="B772" s="1"/>
      <c r="C772" s="1"/>
      <c r="D772" s="1"/>
    </row>
    <row r="773">
      <c r="A773" s="1"/>
      <c r="B773" s="1"/>
      <c r="C773" s="1"/>
      <c r="D773" s="1"/>
    </row>
    <row r="774">
      <c r="A774" s="1"/>
      <c r="B774" s="1"/>
      <c r="C774" s="1"/>
      <c r="D774" s="1"/>
    </row>
    <row r="775">
      <c r="A775" s="1"/>
      <c r="B775" s="1"/>
      <c r="C775" s="1"/>
      <c r="D775" s="1"/>
    </row>
    <row r="776">
      <c r="A776" s="1"/>
      <c r="B776" s="1"/>
      <c r="C776" s="1"/>
      <c r="D776" s="1"/>
    </row>
    <row r="777">
      <c r="A777" s="1"/>
      <c r="B777" s="1"/>
      <c r="C777" s="1"/>
      <c r="D777" s="1"/>
    </row>
    <row r="778">
      <c r="A778" s="1"/>
      <c r="B778" s="1"/>
      <c r="C778" s="1"/>
      <c r="D778" s="1"/>
    </row>
    <row r="779">
      <c r="A779" s="1"/>
      <c r="B779" s="1"/>
      <c r="C779" s="1"/>
      <c r="D779" s="1"/>
    </row>
    <row r="780">
      <c r="A780" s="1"/>
      <c r="B780" s="1"/>
      <c r="C780" s="1"/>
      <c r="D780" s="1"/>
    </row>
    <row r="781">
      <c r="A781" s="1"/>
      <c r="B781" s="1"/>
      <c r="C781" s="1"/>
      <c r="D781" s="1"/>
    </row>
    <row r="782">
      <c r="A782" s="1"/>
      <c r="B782" s="1"/>
      <c r="C782" s="1"/>
      <c r="D782" s="1"/>
    </row>
    <row r="783">
      <c r="A783" s="1"/>
      <c r="B783" s="1"/>
      <c r="C783" s="1"/>
      <c r="D783" s="1"/>
    </row>
    <row r="784">
      <c r="A784" s="1"/>
      <c r="B784" s="1"/>
      <c r="C784" s="1"/>
      <c r="D784" s="1"/>
    </row>
    <row r="785">
      <c r="A785" s="1"/>
      <c r="B785" s="1"/>
      <c r="C785" s="1"/>
      <c r="D785" s="1"/>
    </row>
    <row r="786">
      <c r="A786" s="1"/>
      <c r="B786" s="1"/>
      <c r="C786" s="1"/>
      <c r="D786" s="1"/>
    </row>
    <row r="787">
      <c r="A787" s="1"/>
      <c r="B787" s="1"/>
      <c r="C787" s="1"/>
      <c r="D787" s="1"/>
    </row>
    <row r="788">
      <c r="A788" s="1"/>
      <c r="B788" s="1"/>
      <c r="C788" s="1"/>
      <c r="D788" s="1"/>
    </row>
    <row r="789">
      <c r="A789" s="1"/>
      <c r="B789" s="1"/>
      <c r="C789" s="1"/>
      <c r="D789" s="1"/>
    </row>
    <row r="790">
      <c r="A790" s="1"/>
      <c r="B790" s="1"/>
      <c r="C790" s="1"/>
      <c r="D790" s="1"/>
    </row>
    <row r="791">
      <c r="A791" s="1"/>
      <c r="B791" s="1"/>
      <c r="C791" s="1"/>
      <c r="D791" s="1"/>
    </row>
    <row r="792">
      <c r="A792" s="1"/>
      <c r="B792" s="1"/>
      <c r="C792" s="1"/>
      <c r="D792" s="1"/>
    </row>
    <row r="793">
      <c r="A793" s="1"/>
      <c r="B793" s="1"/>
      <c r="C793" s="1"/>
      <c r="D793" s="1"/>
    </row>
    <row r="794">
      <c r="A794" s="1"/>
      <c r="B794" s="1"/>
      <c r="C794" s="1"/>
      <c r="D794" s="1"/>
    </row>
    <row r="795">
      <c r="A795" s="1"/>
      <c r="B795" s="1"/>
      <c r="C795" s="1"/>
      <c r="D795" s="1"/>
    </row>
    <row r="796">
      <c r="A796" s="1"/>
      <c r="B796" s="1"/>
      <c r="C796" s="1"/>
      <c r="D796" s="1"/>
    </row>
    <row r="797">
      <c r="A797" s="1"/>
      <c r="B797" s="1"/>
      <c r="C797" s="1"/>
      <c r="D797" s="1"/>
    </row>
    <row r="798">
      <c r="A798" s="1"/>
      <c r="B798" s="1"/>
      <c r="C798" s="1"/>
      <c r="D798" s="1"/>
    </row>
    <row r="799">
      <c r="A799" s="1"/>
      <c r="B799" s="1"/>
      <c r="C799" s="1"/>
      <c r="D799" s="1"/>
    </row>
    <row r="800">
      <c r="A800" s="1"/>
      <c r="B800" s="1"/>
      <c r="C800" s="1"/>
      <c r="D800" s="1"/>
    </row>
    <row r="801">
      <c r="A801" s="1"/>
      <c r="B801" s="1"/>
      <c r="C801" s="1"/>
      <c r="D801" s="1"/>
    </row>
    <row r="802">
      <c r="A802" s="1"/>
      <c r="B802" s="1"/>
      <c r="C802" s="1"/>
      <c r="D802" s="1"/>
    </row>
    <row r="803">
      <c r="A803" s="1"/>
      <c r="B803" s="1"/>
      <c r="C803" s="1"/>
      <c r="D803" s="1"/>
    </row>
    <row r="804">
      <c r="A804" s="1"/>
      <c r="B804" s="1"/>
      <c r="C804" s="1"/>
      <c r="D804" s="1"/>
    </row>
    <row r="805">
      <c r="A805" s="1"/>
      <c r="B805" s="1"/>
      <c r="C805" s="1"/>
      <c r="D805" s="1"/>
    </row>
    <row r="806">
      <c r="A806" s="1"/>
      <c r="B806" s="1"/>
      <c r="C806" s="1"/>
      <c r="D806" s="1"/>
    </row>
    <row r="807">
      <c r="A807" s="1"/>
      <c r="B807" s="1"/>
      <c r="C807" s="1"/>
      <c r="D807" s="1"/>
    </row>
    <row r="808">
      <c r="A808" s="1"/>
      <c r="B808" s="1"/>
      <c r="C808" s="1"/>
      <c r="D808" s="1"/>
    </row>
    <row r="809">
      <c r="A809" s="1"/>
      <c r="B809" s="1"/>
      <c r="C809" s="1"/>
      <c r="D809" s="1"/>
    </row>
    <row r="810">
      <c r="A810" s="1"/>
      <c r="B810" s="1"/>
      <c r="C810" s="1"/>
      <c r="D810" s="1"/>
    </row>
    <row r="811">
      <c r="A811" s="1"/>
      <c r="B811" s="1"/>
      <c r="C811" s="1"/>
      <c r="D811" s="1"/>
    </row>
    <row r="812">
      <c r="A812" s="1"/>
      <c r="B812" s="1"/>
      <c r="C812" s="1"/>
      <c r="D812" s="1"/>
    </row>
    <row r="813">
      <c r="A813" s="1"/>
      <c r="B813" s="1"/>
      <c r="C813" s="1"/>
      <c r="D813" s="1"/>
    </row>
    <row r="814">
      <c r="A814" s="1"/>
      <c r="B814" s="1"/>
      <c r="C814" s="1"/>
      <c r="D814" s="1"/>
    </row>
    <row r="815">
      <c r="A815" s="1"/>
      <c r="B815" s="1"/>
      <c r="C815" s="1"/>
      <c r="D815" s="1"/>
    </row>
    <row r="816">
      <c r="A816" s="1"/>
      <c r="B816" s="1"/>
      <c r="C816" s="1"/>
      <c r="D816" s="1"/>
    </row>
    <row r="817">
      <c r="A817" s="1"/>
      <c r="B817" s="1"/>
      <c r="C817" s="1"/>
      <c r="D817" s="1"/>
    </row>
    <row r="818">
      <c r="A818" s="1"/>
      <c r="B818" s="1"/>
      <c r="C818" s="1"/>
      <c r="D818" s="1"/>
    </row>
    <row r="819">
      <c r="A819" s="1"/>
      <c r="B819" s="1"/>
      <c r="C819" s="1"/>
      <c r="D819" s="1"/>
    </row>
    <row r="820">
      <c r="A820" s="1"/>
      <c r="B820" s="1"/>
      <c r="C820" s="1"/>
      <c r="D820" s="1"/>
    </row>
    <row r="821">
      <c r="A821" s="1"/>
      <c r="B821" s="1"/>
      <c r="C821" s="1"/>
      <c r="D821" s="1"/>
    </row>
    <row r="822">
      <c r="A822" s="1"/>
      <c r="B822" s="1"/>
      <c r="C822" s="1"/>
      <c r="D822" s="1"/>
    </row>
    <row r="823">
      <c r="A823" s="1"/>
      <c r="B823" s="1"/>
      <c r="C823" s="1"/>
      <c r="D823" s="1"/>
    </row>
    <row r="824">
      <c r="A824" s="1"/>
      <c r="B824" s="1"/>
      <c r="C824" s="1"/>
      <c r="D824" s="1"/>
    </row>
    <row r="825">
      <c r="A825" s="1"/>
      <c r="B825" s="1"/>
      <c r="C825" s="1"/>
      <c r="D825" s="1"/>
    </row>
    <row r="826">
      <c r="A826" s="1"/>
      <c r="B826" s="1"/>
      <c r="C826" s="1"/>
      <c r="D826" s="1"/>
    </row>
    <row r="827">
      <c r="A827" s="1"/>
      <c r="B827" s="1"/>
      <c r="C827" s="1"/>
      <c r="D827" s="1"/>
    </row>
    <row r="828">
      <c r="A828" s="1"/>
      <c r="B828" s="1"/>
      <c r="C828" s="1"/>
      <c r="D828" s="1"/>
    </row>
    <row r="829">
      <c r="A829" s="1"/>
      <c r="B829" s="1"/>
      <c r="C829" s="1"/>
      <c r="D829" s="1"/>
    </row>
    <row r="830">
      <c r="A830" s="1"/>
      <c r="B830" s="1"/>
      <c r="C830" s="1"/>
      <c r="D830" s="1"/>
    </row>
    <row r="831">
      <c r="A831" s="1"/>
      <c r="B831" s="1"/>
      <c r="C831" s="1"/>
      <c r="D831" s="1"/>
    </row>
    <row r="832">
      <c r="A832" s="1"/>
      <c r="B832" s="1"/>
      <c r="C832" s="1"/>
      <c r="D832" s="1"/>
    </row>
    <row r="833">
      <c r="A833" s="1"/>
      <c r="B833" s="1"/>
      <c r="C833" s="1"/>
      <c r="D833" s="1"/>
    </row>
    <row r="834">
      <c r="A834" s="1"/>
      <c r="B834" s="1"/>
      <c r="C834" s="1"/>
      <c r="D834" s="1"/>
    </row>
    <row r="835">
      <c r="A835" s="1"/>
      <c r="B835" s="1"/>
      <c r="C835" s="1"/>
      <c r="D835" s="1"/>
    </row>
    <row r="836">
      <c r="A836" s="1"/>
      <c r="B836" s="1"/>
      <c r="C836" s="1"/>
      <c r="D836" s="1"/>
    </row>
    <row r="837">
      <c r="A837" s="1"/>
      <c r="B837" s="1"/>
      <c r="C837" s="1"/>
      <c r="D837" s="1"/>
    </row>
    <row r="838">
      <c r="A838" s="1"/>
      <c r="B838" s="1"/>
      <c r="C838" s="1"/>
      <c r="D838" s="1"/>
    </row>
    <row r="839">
      <c r="A839" s="1"/>
      <c r="B839" s="1"/>
      <c r="C839" s="1"/>
      <c r="D839" s="1"/>
    </row>
    <row r="840">
      <c r="A840" s="1"/>
      <c r="B840" s="1"/>
      <c r="C840" s="1"/>
      <c r="D840" s="1"/>
    </row>
    <row r="841">
      <c r="A841" s="1"/>
      <c r="B841" s="1"/>
      <c r="C841" s="1"/>
      <c r="D841" s="1"/>
    </row>
    <row r="842">
      <c r="A842" s="1"/>
      <c r="B842" s="1"/>
      <c r="C842" s="1"/>
      <c r="D842" s="1"/>
    </row>
    <row r="843">
      <c r="A843" s="1"/>
      <c r="B843" s="1"/>
      <c r="C843" s="1"/>
      <c r="D843" s="1"/>
    </row>
    <row r="844">
      <c r="A844" s="1"/>
      <c r="B844" s="1"/>
      <c r="C844" s="1"/>
      <c r="D844" s="1"/>
    </row>
    <row r="845">
      <c r="A845" s="1"/>
      <c r="B845" s="1"/>
      <c r="C845" s="1"/>
      <c r="D845" s="1"/>
    </row>
    <row r="846">
      <c r="A846" s="1"/>
      <c r="B846" s="1"/>
      <c r="C846" s="1"/>
      <c r="D846" s="1"/>
    </row>
    <row r="847">
      <c r="A847" s="1"/>
      <c r="B847" s="1"/>
      <c r="C847" s="1"/>
      <c r="D847" s="1"/>
    </row>
    <row r="848">
      <c r="A848" s="1"/>
      <c r="B848" s="1"/>
      <c r="C848" s="1"/>
      <c r="D848" s="1"/>
    </row>
    <row r="849">
      <c r="A849" s="1"/>
      <c r="B849" s="1"/>
      <c r="C849" s="1"/>
      <c r="D849" s="1"/>
    </row>
    <row r="850">
      <c r="A850" s="1"/>
      <c r="B850" s="1"/>
      <c r="C850" s="1"/>
      <c r="D850" s="1"/>
    </row>
    <row r="851">
      <c r="A851" s="1"/>
      <c r="B851" s="1"/>
      <c r="C851" s="1"/>
      <c r="D851" s="1"/>
    </row>
    <row r="852">
      <c r="A852" s="1"/>
      <c r="B852" s="1"/>
      <c r="C852" s="1"/>
      <c r="D852" s="1"/>
    </row>
    <row r="853">
      <c r="A853" s="1"/>
      <c r="B853" s="1"/>
      <c r="C853" s="1"/>
      <c r="D853" s="1"/>
    </row>
    <row r="854">
      <c r="A854" s="1"/>
      <c r="B854" s="1"/>
      <c r="C854" s="1"/>
      <c r="D854" s="1"/>
    </row>
    <row r="855">
      <c r="A855" s="1"/>
      <c r="B855" s="1"/>
      <c r="C855" s="1"/>
      <c r="D855" s="1"/>
    </row>
    <row r="856">
      <c r="A856" s="1"/>
      <c r="B856" s="1"/>
      <c r="C856" s="1"/>
      <c r="D856" s="1"/>
    </row>
    <row r="857">
      <c r="A857" s="1"/>
      <c r="B857" s="1"/>
      <c r="C857" s="1"/>
      <c r="D857" s="1"/>
    </row>
    <row r="858">
      <c r="A858" s="1"/>
      <c r="B858" s="1"/>
      <c r="C858" s="1"/>
      <c r="D858" s="1"/>
    </row>
    <row r="859">
      <c r="A859" s="1"/>
      <c r="B859" s="1"/>
      <c r="C859" s="1"/>
      <c r="D859" s="1"/>
    </row>
    <row r="860">
      <c r="A860" s="1"/>
      <c r="B860" s="1"/>
      <c r="C860" s="1"/>
      <c r="D860" s="1"/>
    </row>
    <row r="861">
      <c r="A861" s="1"/>
      <c r="B861" s="1"/>
      <c r="C861" s="1"/>
      <c r="D861" s="1"/>
    </row>
    <row r="862">
      <c r="A862" s="1"/>
      <c r="B862" s="1"/>
      <c r="C862" s="1"/>
      <c r="D862" s="1"/>
    </row>
    <row r="863">
      <c r="A863" s="1"/>
      <c r="B863" s="1"/>
      <c r="C863" s="1"/>
      <c r="D863" s="1"/>
    </row>
    <row r="864">
      <c r="A864" s="1"/>
      <c r="B864" s="1"/>
      <c r="C864" s="1"/>
      <c r="D864" s="1"/>
    </row>
    <row r="865">
      <c r="A865" s="1"/>
      <c r="B865" s="1"/>
      <c r="C865" s="1"/>
      <c r="D865" s="1"/>
    </row>
    <row r="866">
      <c r="A866" s="1"/>
      <c r="B866" s="1"/>
      <c r="C866" s="1"/>
      <c r="D866" s="1"/>
    </row>
    <row r="867">
      <c r="A867" s="1"/>
      <c r="B867" s="1"/>
      <c r="C867" s="1"/>
      <c r="D867" s="1"/>
    </row>
    <row r="868">
      <c r="A868" s="1"/>
      <c r="B868" s="1"/>
      <c r="C868" s="1"/>
      <c r="D868" s="1"/>
    </row>
    <row r="869">
      <c r="A869" s="1"/>
      <c r="B869" s="1"/>
      <c r="C869" s="1"/>
      <c r="D869" s="1"/>
    </row>
    <row r="870">
      <c r="A870" s="1"/>
      <c r="B870" s="1"/>
      <c r="C870" s="1"/>
      <c r="D870" s="1"/>
    </row>
    <row r="871">
      <c r="A871" s="1"/>
      <c r="B871" s="1"/>
      <c r="C871" s="1"/>
      <c r="D871" s="1"/>
    </row>
    <row r="872">
      <c r="A872" s="1"/>
      <c r="B872" s="1"/>
      <c r="C872" s="1"/>
      <c r="D872" s="1"/>
    </row>
    <row r="873">
      <c r="A873" s="1"/>
      <c r="B873" s="1"/>
      <c r="C873" s="1"/>
      <c r="D873" s="1"/>
    </row>
    <row r="874">
      <c r="A874" s="1"/>
      <c r="B874" s="1"/>
      <c r="C874" s="1"/>
      <c r="D874" s="1"/>
    </row>
    <row r="875">
      <c r="A875" s="1"/>
      <c r="B875" s="1"/>
      <c r="C875" s="1"/>
      <c r="D875" s="1"/>
    </row>
    <row r="876">
      <c r="A876" s="1"/>
      <c r="B876" s="1"/>
      <c r="C876" s="1"/>
      <c r="D876" s="1"/>
    </row>
    <row r="877">
      <c r="A877" s="1"/>
      <c r="B877" s="1"/>
      <c r="C877" s="1"/>
      <c r="D877" s="1"/>
    </row>
    <row r="878">
      <c r="A878" s="1"/>
      <c r="B878" s="1"/>
      <c r="C878" s="1"/>
      <c r="D878" s="1"/>
    </row>
    <row r="879">
      <c r="A879" s="1"/>
      <c r="B879" s="1"/>
      <c r="C879" s="1"/>
      <c r="D879" s="1"/>
    </row>
    <row r="880">
      <c r="A880" s="1"/>
      <c r="B880" s="1"/>
      <c r="C880" s="1"/>
      <c r="D880" s="1"/>
    </row>
    <row r="881">
      <c r="A881" s="1"/>
      <c r="B881" s="1"/>
      <c r="C881" s="1"/>
      <c r="D881" s="1"/>
    </row>
    <row r="882">
      <c r="A882" s="1"/>
      <c r="B882" s="1"/>
      <c r="C882" s="1"/>
      <c r="D882" s="1"/>
    </row>
    <row r="883">
      <c r="A883" s="1"/>
      <c r="B883" s="1"/>
      <c r="C883" s="1"/>
      <c r="D883" s="1"/>
    </row>
    <row r="884">
      <c r="A884" s="1"/>
      <c r="B884" s="1"/>
      <c r="C884" s="1"/>
      <c r="D884" s="1"/>
    </row>
    <row r="885">
      <c r="A885" s="1"/>
      <c r="B885" s="1"/>
      <c r="C885" s="1"/>
      <c r="D885" s="1"/>
    </row>
    <row r="886">
      <c r="A886" s="1"/>
      <c r="B886" s="1"/>
      <c r="C886" s="1"/>
      <c r="D886" s="1"/>
    </row>
    <row r="887">
      <c r="A887" s="1"/>
      <c r="B887" s="1"/>
      <c r="C887" s="1"/>
      <c r="D887" s="1"/>
    </row>
    <row r="888">
      <c r="A888" s="1"/>
      <c r="B888" s="1"/>
      <c r="C888" s="1"/>
      <c r="D888" s="1"/>
    </row>
    <row r="889">
      <c r="A889" s="1"/>
      <c r="B889" s="1"/>
      <c r="C889" s="1"/>
      <c r="D889" s="1"/>
    </row>
    <row r="890">
      <c r="A890" s="1"/>
      <c r="B890" s="1"/>
      <c r="C890" s="1"/>
      <c r="D890" s="1"/>
    </row>
    <row r="891">
      <c r="A891" s="1"/>
      <c r="B891" s="1"/>
      <c r="C891" s="1"/>
      <c r="D891" s="1"/>
    </row>
    <row r="892">
      <c r="A892" s="1"/>
      <c r="B892" s="1"/>
      <c r="C892" s="1"/>
      <c r="D892" s="1"/>
    </row>
    <row r="893">
      <c r="A893" s="1"/>
      <c r="B893" s="1"/>
      <c r="C893" s="1"/>
      <c r="D893" s="1"/>
    </row>
    <row r="894">
      <c r="A894" s="1"/>
      <c r="B894" s="1"/>
      <c r="C894" s="1"/>
      <c r="D894" s="1"/>
    </row>
    <row r="895">
      <c r="A895" s="1"/>
      <c r="B895" s="1"/>
      <c r="C895" s="1"/>
      <c r="D895" s="1"/>
    </row>
    <row r="896">
      <c r="A896" s="1"/>
      <c r="B896" s="1"/>
      <c r="C896" s="1"/>
      <c r="D896" s="1"/>
    </row>
    <row r="897">
      <c r="A897" s="1"/>
      <c r="B897" s="1"/>
      <c r="C897" s="1"/>
      <c r="D897" s="1"/>
    </row>
    <row r="898">
      <c r="A898" s="1"/>
      <c r="B898" s="1"/>
      <c r="C898" s="1"/>
      <c r="D898" s="1"/>
    </row>
    <row r="899">
      <c r="A899" s="1"/>
      <c r="B899" s="1"/>
      <c r="C899" s="1"/>
      <c r="D899" s="1"/>
    </row>
    <row r="900">
      <c r="A900" s="1"/>
      <c r="B900" s="1"/>
      <c r="C900" s="1"/>
      <c r="D900" s="1"/>
    </row>
    <row r="901">
      <c r="A901" s="1"/>
      <c r="B901" s="1"/>
      <c r="C901" s="1"/>
      <c r="D901" s="1"/>
    </row>
    <row r="902">
      <c r="A902" s="1"/>
      <c r="B902" s="1"/>
      <c r="C902" s="1"/>
      <c r="D902" s="1"/>
    </row>
    <row r="903">
      <c r="A903" s="1"/>
      <c r="B903" s="1"/>
      <c r="C903" s="1"/>
      <c r="D903" s="1"/>
    </row>
    <row r="904">
      <c r="A904" s="1"/>
      <c r="B904" s="1"/>
      <c r="C904" s="1"/>
      <c r="D904" s="1"/>
    </row>
    <row r="905">
      <c r="A905" s="1"/>
      <c r="B905" s="1"/>
      <c r="C905" s="1"/>
      <c r="D905" s="1"/>
    </row>
    <row r="906">
      <c r="A906" s="1"/>
      <c r="B906" s="1"/>
      <c r="C906" s="1"/>
      <c r="D906" s="1"/>
    </row>
    <row r="907">
      <c r="A907" s="1"/>
      <c r="B907" s="1"/>
      <c r="C907" s="1"/>
      <c r="D907" s="1"/>
    </row>
    <row r="908">
      <c r="A908" s="1"/>
      <c r="B908" s="1"/>
      <c r="C908" s="1"/>
      <c r="D908" s="1"/>
    </row>
    <row r="909">
      <c r="A909" s="1"/>
      <c r="B909" s="1"/>
      <c r="C909" s="1"/>
      <c r="D909" s="1"/>
    </row>
    <row r="910">
      <c r="A910" s="1"/>
      <c r="B910" s="1"/>
      <c r="C910" s="1"/>
      <c r="D910" s="1"/>
    </row>
    <row r="911">
      <c r="A911" s="1"/>
      <c r="B911" s="1"/>
      <c r="C911" s="1"/>
      <c r="D911" s="1"/>
    </row>
    <row r="912">
      <c r="A912" s="1"/>
      <c r="B912" s="1"/>
      <c r="C912" s="1"/>
      <c r="D912" s="1"/>
    </row>
    <row r="913">
      <c r="A913" s="1"/>
      <c r="B913" s="1"/>
      <c r="C913" s="1"/>
      <c r="D913" s="1"/>
    </row>
    <row r="914">
      <c r="A914" s="1"/>
      <c r="B914" s="1"/>
      <c r="C914" s="1"/>
      <c r="D914" s="1"/>
    </row>
    <row r="915">
      <c r="A915" s="1"/>
      <c r="B915" s="1"/>
      <c r="C915" s="1"/>
      <c r="D915" s="1"/>
    </row>
    <row r="916">
      <c r="A916" s="1"/>
      <c r="B916" s="1"/>
      <c r="C916" s="1"/>
      <c r="D916" s="1"/>
    </row>
    <row r="917">
      <c r="A917" s="1"/>
      <c r="B917" s="1"/>
      <c r="C917" s="1"/>
      <c r="D917" s="1"/>
    </row>
    <row r="918">
      <c r="A918" s="1"/>
      <c r="B918" s="1"/>
      <c r="C918" s="1"/>
      <c r="D918" s="1"/>
    </row>
    <row r="919">
      <c r="A919" s="1"/>
      <c r="B919" s="1"/>
      <c r="C919" s="1"/>
      <c r="D919" s="1"/>
    </row>
    <row r="920">
      <c r="A920" s="1"/>
      <c r="B920" s="1"/>
      <c r="C920" s="1"/>
      <c r="D920" s="1"/>
    </row>
    <row r="921">
      <c r="A921" s="1"/>
      <c r="B921" s="1"/>
      <c r="C921" s="1"/>
      <c r="D921" s="1"/>
    </row>
    <row r="922">
      <c r="A922" s="1"/>
      <c r="B922" s="1"/>
      <c r="C922" s="1"/>
      <c r="D922" s="1"/>
    </row>
    <row r="923">
      <c r="A923" s="1"/>
      <c r="B923" s="1"/>
      <c r="C923" s="1"/>
      <c r="D923" s="1"/>
    </row>
    <row r="924">
      <c r="A924" s="1"/>
      <c r="B924" s="1"/>
      <c r="C924" s="1"/>
      <c r="D924" s="1"/>
    </row>
    <row r="925">
      <c r="A925" s="1"/>
      <c r="B925" s="1"/>
      <c r="C925" s="1"/>
      <c r="D925" s="1"/>
    </row>
    <row r="926">
      <c r="A926" s="1"/>
      <c r="B926" s="1"/>
      <c r="C926" s="1"/>
      <c r="D926" s="1"/>
    </row>
    <row r="927">
      <c r="A927" s="1"/>
      <c r="B927" s="1"/>
      <c r="C927" s="1"/>
      <c r="D927" s="1"/>
    </row>
    <row r="928">
      <c r="A928" s="1"/>
      <c r="B928" s="1"/>
      <c r="C928" s="1"/>
      <c r="D928" s="1"/>
    </row>
    <row r="929">
      <c r="A929" s="1"/>
      <c r="B929" s="1"/>
      <c r="C929" s="1"/>
      <c r="D929" s="1"/>
    </row>
    <row r="930">
      <c r="A930" s="1"/>
      <c r="B930" s="1"/>
      <c r="C930" s="1"/>
      <c r="D930" s="1"/>
    </row>
    <row r="931">
      <c r="A931" s="1"/>
      <c r="B931" s="1"/>
      <c r="C931" s="1"/>
      <c r="D931" s="1"/>
    </row>
    <row r="932">
      <c r="A932" s="1"/>
      <c r="B932" s="1"/>
      <c r="C932" s="1"/>
      <c r="D932" s="1"/>
    </row>
    <row r="933">
      <c r="A933" s="1"/>
      <c r="B933" s="1"/>
      <c r="C933" s="1"/>
      <c r="D933" s="1"/>
    </row>
    <row r="934">
      <c r="A934" s="1"/>
      <c r="B934" s="1"/>
      <c r="C934" s="1"/>
      <c r="D934" s="1"/>
    </row>
    <row r="935">
      <c r="A935" s="1"/>
      <c r="B935" s="1"/>
      <c r="C935" s="1"/>
      <c r="D935" s="1"/>
    </row>
    <row r="936">
      <c r="A936" s="1"/>
      <c r="B936" s="1"/>
      <c r="C936" s="1"/>
      <c r="D936" s="1"/>
    </row>
    <row r="937">
      <c r="A937" s="1"/>
      <c r="B937" s="1"/>
      <c r="C937" s="1"/>
      <c r="D937" s="1"/>
    </row>
    <row r="938">
      <c r="A938" s="1"/>
      <c r="B938" s="1"/>
      <c r="C938" s="1"/>
      <c r="D938" s="1"/>
    </row>
    <row r="939">
      <c r="A939" s="1"/>
      <c r="B939" s="1"/>
      <c r="C939" s="1"/>
      <c r="D939" s="1"/>
    </row>
    <row r="940">
      <c r="A940" s="1"/>
      <c r="B940" s="1"/>
      <c r="C940" s="1"/>
      <c r="D940" s="1"/>
    </row>
    <row r="941">
      <c r="A941" s="1"/>
      <c r="B941" s="1"/>
      <c r="C941" s="1"/>
      <c r="D941" s="1"/>
    </row>
    <row r="942">
      <c r="A942" s="1"/>
      <c r="B942" s="1"/>
      <c r="C942" s="1"/>
      <c r="D942" s="1"/>
    </row>
    <row r="943">
      <c r="A943" s="1"/>
      <c r="B943" s="1"/>
      <c r="C943" s="1"/>
      <c r="D943" s="1"/>
    </row>
    <row r="944">
      <c r="A944" s="1"/>
      <c r="B944" s="1"/>
      <c r="C944" s="1"/>
      <c r="D944" s="1"/>
    </row>
    <row r="945">
      <c r="A945" s="1"/>
      <c r="B945" s="1"/>
      <c r="C945" s="1"/>
      <c r="D945" s="1"/>
    </row>
    <row r="946">
      <c r="A946" s="1"/>
      <c r="B946" s="1"/>
      <c r="C946" s="1"/>
      <c r="D946" s="1"/>
    </row>
    <row r="947">
      <c r="A947" s="1"/>
      <c r="B947" s="1"/>
      <c r="C947" s="1"/>
      <c r="D947" s="1"/>
    </row>
    <row r="948">
      <c r="A948" s="1"/>
      <c r="B948" s="1"/>
      <c r="C948" s="1"/>
      <c r="D948" s="1"/>
    </row>
    <row r="949">
      <c r="A949" s="1"/>
      <c r="B949" s="1"/>
      <c r="C949" s="1"/>
      <c r="D949" s="1"/>
    </row>
    <row r="950">
      <c r="A950" s="1"/>
      <c r="B950" s="1"/>
      <c r="C950" s="1"/>
      <c r="D950" s="1"/>
    </row>
    <row r="951">
      <c r="A951" s="1"/>
      <c r="B951" s="1"/>
      <c r="C951" s="1"/>
      <c r="D951" s="1"/>
    </row>
    <row r="952">
      <c r="A952" s="1"/>
      <c r="B952" s="1"/>
      <c r="C952" s="1"/>
      <c r="D952" s="1"/>
    </row>
    <row r="953">
      <c r="A953" s="1"/>
      <c r="B953" s="1"/>
      <c r="C953" s="1"/>
      <c r="D953" s="1"/>
    </row>
    <row r="954">
      <c r="A954" s="1"/>
      <c r="B954" s="1"/>
      <c r="C954" s="1"/>
      <c r="D954" s="1"/>
    </row>
    <row r="955">
      <c r="A955" s="1"/>
      <c r="B955" s="1"/>
      <c r="C955" s="1"/>
      <c r="D955" s="1"/>
    </row>
    <row r="956">
      <c r="A956" s="1"/>
      <c r="B956" s="1"/>
      <c r="C956" s="1"/>
      <c r="D956" s="1"/>
    </row>
    <row r="957">
      <c r="A957" s="1"/>
      <c r="B957" s="1"/>
      <c r="C957" s="1"/>
      <c r="D957" s="1"/>
    </row>
    <row r="958">
      <c r="A958" s="1"/>
      <c r="B958" s="1"/>
      <c r="C958" s="1"/>
      <c r="D958" s="1"/>
    </row>
    <row r="959">
      <c r="A959" s="1"/>
      <c r="B959" s="1"/>
      <c r="C959" s="1"/>
      <c r="D959" s="1"/>
    </row>
    <row r="960">
      <c r="A960" s="1"/>
      <c r="B960" s="1"/>
      <c r="C960" s="1"/>
      <c r="D960" s="1"/>
    </row>
    <row r="961">
      <c r="A961" s="1"/>
      <c r="B961" s="1"/>
      <c r="C961" s="1"/>
      <c r="D961" s="1"/>
    </row>
    <row r="962">
      <c r="A962" s="1"/>
      <c r="B962" s="1"/>
      <c r="C962" s="1"/>
      <c r="D962" s="1"/>
    </row>
    <row r="963">
      <c r="A963" s="1"/>
      <c r="B963" s="1"/>
      <c r="C963" s="1"/>
      <c r="D963" s="1"/>
    </row>
    <row r="964">
      <c r="A964" s="1"/>
      <c r="B964" s="1"/>
      <c r="C964" s="1"/>
      <c r="D964" s="1"/>
    </row>
    <row r="965">
      <c r="A965" s="1"/>
      <c r="B965" s="1"/>
      <c r="C965" s="1"/>
      <c r="D965" s="1"/>
    </row>
    <row r="966">
      <c r="A966" s="1"/>
      <c r="B966" s="1"/>
      <c r="C966" s="1"/>
      <c r="D966" s="1"/>
    </row>
    <row r="967">
      <c r="A967" s="1"/>
      <c r="B967" s="1"/>
      <c r="C967" s="1"/>
      <c r="D967" s="1"/>
    </row>
    <row r="968">
      <c r="A968" s="1"/>
      <c r="B968" s="1"/>
      <c r="C968" s="1"/>
      <c r="D968" s="1"/>
    </row>
    <row r="969">
      <c r="A969" s="1"/>
      <c r="B969" s="1"/>
      <c r="C969" s="1"/>
      <c r="D969" s="1"/>
    </row>
    <row r="970">
      <c r="A970" s="1"/>
      <c r="B970" s="1"/>
      <c r="C970" s="1"/>
      <c r="D970" s="1"/>
    </row>
    <row r="971">
      <c r="A971" s="1"/>
      <c r="B971" s="1"/>
      <c r="C971" s="1"/>
      <c r="D971" s="1"/>
    </row>
    <row r="972">
      <c r="A972" s="1"/>
      <c r="B972" s="1"/>
      <c r="C972" s="1"/>
      <c r="D972" s="1"/>
    </row>
    <row r="973">
      <c r="A973" s="1"/>
      <c r="B973" s="1"/>
      <c r="C973" s="1"/>
      <c r="D973" s="1"/>
    </row>
    <row r="974">
      <c r="A974" s="1"/>
      <c r="B974" s="1"/>
      <c r="C974" s="1"/>
      <c r="D974" s="1"/>
    </row>
    <row r="975">
      <c r="A975" s="1"/>
      <c r="B975" s="1"/>
      <c r="C975" s="1"/>
      <c r="D975" s="1"/>
    </row>
    <row r="976">
      <c r="A976" s="1"/>
      <c r="B976" s="1"/>
      <c r="C976" s="1"/>
      <c r="D976" s="1"/>
    </row>
    <row r="977">
      <c r="A977" s="1"/>
      <c r="B977" s="1"/>
      <c r="C977" s="1"/>
      <c r="D977" s="1"/>
    </row>
    <row r="978">
      <c r="A978" s="1"/>
      <c r="B978" s="1"/>
      <c r="C978" s="1"/>
      <c r="D978" s="1"/>
    </row>
    <row r="979">
      <c r="A979" s="1"/>
      <c r="B979" s="1"/>
      <c r="C979" s="1"/>
      <c r="D979" s="1"/>
    </row>
    <row r="980">
      <c r="A980" s="1"/>
      <c r="B980" s="1"/>
      <c r="C980" s="1"/>
      <c r="D980" s="1"/>
    </row>
    <row r="981">
      <c r="A981" s="1"/>
      <c r="B981" s="1"/>
      <c r="C981" s="1"/>
      <c r="D981" s="1"/>
    </row>
    <row r="982">
      <c r="A982" s="1"/>
      <c r="B982" s="1"/>
      <c r="C982" s="1"/>
      <c r="D982" s="1"/>
    </row>
    <row r="983">
      <c r="A983" s="1"/>
      <c r="B983" s="1"/>
      <c r="C983" s="1"/>
      <c r="D983" s="1"/>
    </row>
    <row r="984">
      <c r="A984" s="1"/>
      <c r="B984" s="1"/>
      <c r="C984" s="1"/>
      <c r="D984" s="1"/>
    </row>
    <row r="985">
      <c r="A985" s="1"/>
      <c r="B985" s="1"/>
      <c r="C985" s="1"/>
      <c r="D985" s="1"/>
    </row>
    <row r="986">
      <c r="A986" s="1"/>
      <c r="B986" s="1"/>
      <c r="C986" s="1"/>
      <c r="D986" s="1"/>
    </row>
    <row r="987">
      <c r="A987" s="1"/>
      <c r="B987" s="1"/>
      <c r="C987" s="1"/>
      <c r="D987" s="1"/>
    </row>
    <row r="988">
      <c r="A988" s="1"/>
      <c r="B988" s="1"/>
      <c r="C988" s="1"/>
      <c r="D988" s="1"/>
    </row>
    <row r="989">
      <c r="A989" s="1"/>
      <c r="B989" s="1"/>
      <c r="C989" s="1"/>
      <c r="D989" s="1"/>
    </row>
    <row r="990">
      <c r="A990" s="1"/>
      <c r="B990" s="1"/>
      <c r="C990" s="1"/>
      <c r="D990" s="1"/>
    </row>
    <row r="991">
      <c r="A991" s="1"/>
      <c r="B991" s="1"/>
      <c r="C991" s="1"/>
      <c r="D991" s="1"/>
    </row>
    <row r="992">
      <c r="A992" s="1"/>
      <c r="B992" s="1"/>
      <c r="C992" s="1"/>
      <c r="D992" s="1"/>
    </row>
    <row r="993">
      <c r="A993" s="1"/>
      <c r="B993" s="1"/>
      <c r="C993" s="1"/>
      <c r="D993" s="1"/>
    </row>
    <row r="994">
      <c r="A994" s="1"/>
      <c r="B994" s="1"/>
      <c r="C994" s="1"/>
      <c r="D994" s="1"/>
    </row>
    <row r="995">
      <c r="A995" s="1"/>
      <c r="B995" s="1"/>
      <c r="C995" s="1"/>
      <c r="D995" s="1"/>
    </row>
    <row r="996">
      <c r="A996" s="1"/>
      <c r="B996" s="1"/>
      <c r="C996" s="1"/>
      <c r="D996" s="1"/>
    </row>
    <row r="997">
      <c r="A997" s="1"/>
      <c r="B997" s="1"/>
      <c r="C997" s="1"/>
      <c r="D997" s="1"/>
    </row>
    <row r="998">
      <c r="A998" s="1"/>
      <c r="B998" s="1"/>
      <c r="C998" s="1"/>
      <c r="D998" s="1"/>
    </row>
    <row r="999">
      <c r="A999" s="1"/>
      <c r="B999" s="1"/>
      <c r="C999" s="1"/>
      <c r="D999" s="1"/>
    </row>
    <row r="1000">
      <c r="A1000" s="1"/>
      <c r="B1000" s="1"/>
      <c r="C1000" s="1"/>
      <c r="D1000" s="1"/>
    </row>
  </sheetData>
  <printOptions gridLines="1" horizontalCentered="1"/>
  <pageMargins bottom="0.75" footer="0.0" header="0.0" left="0.7" right="0.7" top="0.75"/>
  <pageSetup fitToHeight="0" paperSize="9" cellComments="atEnd" orientation="landscape" pageOrder="overThenDown"/>
  <drawing r:id="rId1"/>
</worksheet>
</file>